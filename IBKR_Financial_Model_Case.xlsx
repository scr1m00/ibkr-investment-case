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cr1m\Downloads\"/>
    </mc:Choice>
  </mc:AlternateContent>
  <xr:revisionPtr revIDLastSave="0" documentId="13_ncr:1_{B551E06F-4D6A-41CC-9D49-3151271F8B22}" xr6:coauthVersionLast="47" xr6:coauthVersionMax="47" xr10:uidLastSave="{00000000-0000-0000-0000-000000000000}"/>
  <bookViews>
    <workbookView xWindow="-120" yWindow="-120" windowWidth="29040" windowHeight="15990" tabRatio="918" xr2:uid="{00000000-000D-0000-FFFF-FFFF00000000}"/>
  </bookViews>
  <sheets>
    <sheet name="Карточка проекта" sheetId="1" r:id="rId1"/>
    <sheet name="Входные данные" sheetId="2" r:id="rId2"/>
    <sheet name="P&amp;L Анализ" sheetId="3" r:id="rId3"/>
    <sheet name="Баланс" sheetId="4" r:id="rId4"/>
    <sheet name="Факторный анализ" sheetId="5" r:id="rId5"/>
    <sheet name="NCI и EPS-разрыв" sheetId="6" r:id="rId6"/>
    <sheet name="Сценарий ставки" sheetId="7" r:id="rId7"/>
    <sheet name="Cash Flow - Входные данные" sheetId="8" r:id="rId8"/>
    <sheet name="Cash Flow - Расчёты" sheetId="9" r:id="rId9"/>
    <sheet name="Данные (плоская таблица)" sheetId="10" r:id="rId10"/>
    <sheet name="Свод (интерактивный)" sheetId="11" r:id="rId11"/>
    <sheet name="Графики" sheetId="12" r:id="rId1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8" i="12" l="1"/>
  <c r="C28" i="12"/>
  <c r="D27" i="12"/>
  <c r="C27" i="12"/>
  <c r="D26" i="12"/>
  <c r="C26" i="12"/>
  <c r="D22" i="12"/>
  <c r="D21" i="12"/>
  <c r="D20" i="12"/>
  <c r="D13" i="12"/>
  <c r="C13" i="12"/>
  <c r="D12" i="12"/>
  <c r="C12" i="12"/>
  <c r="D11" i="12"/>
  <c r="C11" i="12"/>
  <c r="D7" i="12"/>
  <c r="C7" i="12"/>
  <c r="D6" i="12"/>
  <c r="C6" i="12"/>
  <c r="B17" i="11"/>
  <c r="B16" i="11"/>
  <c r="B15" i="11"/>
  <c r="B14" i="11"/>
  <c r="B13" i="11"/>
  <c r="B12" i="11"/>
  <c r="B11" i="11"/>
  <c r="B10" i="11"/>
  <c r="B9" i="11"/>
  <c r="B8" i="11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19" i="9"/>
  <c r="D19" i="9"/>
  <c r="C19" i="9"/>
  <c r="E18" i="9"/>
  <c r="D18" i="9"/>
  <c r="C18" i="9"/>
  <c r="E12" i="9"/>
  <c r="D12" i="9"/>
  <c r="C12" i="9"/>
  <c r="E7" i="9"/>
  <c r="D7" i="9"/>
  <c r="C7" i="9"/>
  <c r="E6" i="9"/>
  <c r="D6" i="9"/>
  <c r="C6" i="9"/>
  <c r="C5" i="7"/>
  <c r="C4" i="7"/>
  <c r="C3" i="7"/>
  <c r="D11" i="6"/>
  <c r="C11" i="6"/>
  <c r="D5" i="6"/>
  <c r="C5" i="6"/>
  <c r="D4" i="6"/>
  <c r="C4" i="6"/>
  <c r="D18" i="5"/>
  <c r="C18" i="5"/>
  <c r="D17" i="5"/>
  <c r="C17" i="5"/>
  <c r="D16" i="5"/>
  <c r="C16" i="5"/>
  <c r="D6" i="5"/>
  <c r="C6" i="5"/>
  <c r="D5" i="5"/>
  <c r="C5" i="5"/>
  <c r="D4" i="5"/>
  <c r="C4" i="5"/>
  <c r="D9" i="4"/>
  <c r="C9" i="4"/>
  <c r="D8" i="4"/>
  <c r="C8" i="4"/>
  <c r="D7" i="4"/>
  <c r="C7" i="4"/>
  <c r="D6" i="4"/>
  <c r="C6" i="4"/>
  <c r="D5" i="4"/>
  <c r="C5" i="4"/>
  <c r="D4" i="4"/>
  <c r="C4" i="4"/>
  <c r="D3" i="4"/>
  <c r="C3" i="4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D6" i="3"/>
  <c r="C6" i="3"/>
  <c r="D5" i="3"/>
  <c r="C5" i="3"/>
  <c r="D4" i="3"/>
  <c r="C4" i="3"/>
  <c r="D3" i="3"/>
  <c r="C3" i="3"/>
  <c r="C11" i="7" l="1"/>
  <c r="D10" i="7"/>
  <c r="C10" i="7"/>
  <c r="C19" i="6"/>
  <c r="D12" i="6"/>
  <c r="D13" i="6" s="1"/>
  <c r="C12" i="6"/>
  <c r="E11" i="6"/>
  <c r="D6" i="6"/>
  <c r="D7" i="6" s="1"/>
  <c r="C6" i="6"/>
  <c r="E5" i="6"/>
  <c r="E4" i="6"/>
  <c r="E18" i="5"/>
  <c r="E17" i="5"/>
  <c r="E16" i="5"/>
  <c r="C11" i="5"/>
  <c r="C10" i="5"/>
  <c r="C12" i="5" s="1"/>
  <c r="E6" i="5"/>
  <c r="E5" i="5"/>
  <c r="E4" i="5"/>
  <c r="D15" i="4"/>
  <c r="C15" i="4"/>
  <c r="D14" i="4"/>
  <c r="C14" i="4"/>
  <c r="D13" i="4"/>
  <c r="C13" i="4"/>
  <c r="E13" i="4" s="1"/>
  <c r="E9" i="4"/>
  <c r="E8" i="4"/>
  <c r="E7" i="4"/>
  <c r="E6" i="4"/>
  <c r="E5" i="4"/>
  <c r="E4" i="4"/>
  <c r="E3" i="4"/>
  <c r="D30" i="3"/>
  <c r="C30" i="3"/>
  <c r="E30" i="3" s="1"/>
  <c r="D29" i="3"/>
  <c r="C29" i="3"/>
  <c r="E29" i="3" s="1"/>
  <c r="D28" i="3"/>
  <c r="C28" i="3"/>
  <c r="D27" i="3"/>
  <c r="C27" i="3"/>
  <c r="E27" i="3" s="1"/>
  <c r="D26" i="3"/>
  <c r="C26" i="3"/>
  <c r="G22" i="3"/>
  <c r="F22" i="3"/>
  <c r="E22" i="3"/>
  <c r="G21" i="3"/>
  <c r="F21" i="3"/>
  <c r="E21" i="3"/>
  <c r="G20" i="3"/>
  <c r="F20" i="3"/>
  <c r="E20" i="3"/>
  <c r="G19" i="3"/>
  <c r="F19" i="3"/>
  <c r="E19" i="3"/>
  <c r="G18" i="3"/>
  <c r="F18" i="3"/>
  <c r="E18" i="3"/>
  <c r="G17" i="3"/>
  <c r="F17" i="3"/>
  <c r="E17" i="3"/>
  <c r="G16" i="3"/>
  <c r="F16" i="3"/>
  <c r="E16" i="3"/>
  <c r="G15" i="3"/>
  <c r="F15" i="3"/>
  <c r="E15" i="3"/>
  <c r="G14" i="3"/>
  <c r="F14" i="3"/>
  <c r="E14" i="3"/>
  <c r="G13" i="3"/>
  <c r="F13" i="3"/>
  <c r="E13" i="3"/>
  <c r="G12" i="3"/>
  <c r="F12" i="3"/>
  <c r="E12" i="3"/>
  <c r="G11" i="3"/>
  <c r="F11" i="3"/>
  <c r="E11" i="3"/>
  <c r="G10" i="3"/>
  <c r="F10" i="3"/>
  <c r="E10" i="3"/>
  <c r="G9" i="3"/>
  <c r="F9" i="3"/>
  <c r="E9" i="3"/>
  <c r="G8" i="3"/>
  <c r="F8" i="3"/>
  <c r="E8" i="3"/>
  <c r="G7" i="3"/>
  <c r="F7" i="3"/>
  <c r="E7" i="3"/>
  <c r="G6" i="3"/>
  <c r="F6" i="3"/>
  <c r="E6" i="3"/>
  <c r="G5" i="3"/>
  <c r="F5" i="3"/>
  <c r="E5" i="3"/>
  <c r="G4" i="3"/>
  <c r="F4" i="3"/>
  <c r="E4" i="3"/>
  <c r="G3" i="3"/>
  <c r="F3" i="3"/>
  <c r="E3" i="3"/>
  <c r="E13" i="11"/>
  <c r="D13" i="11"/>
  <c r="C13" i="11"/>
  <c r="E10" i="11"/>
  <c r="C9" i="11"/>
  <c r="E8" i="11"/>
  <c r="E28" i="9"/>
  <c r="D13" i="9"/>
  <c r="D14" i="9" s="1"/>
  <c r="E8" i="9"/>
  <c r="C8" i="9"/>
  <c r="E11" i="11"/>
  <c r="D11" i="11"/>
  <c r="C11" i="11"/>
  <c r="D29" i="9"/>
  <c r="D20" i="9"/>
  <c r="E12" i="11"/>
  <c r="D12" i="11"/>
  <c r="C12" i="11"/>
  <c r="E9" i="11"/>
  <c r="C29" i="9"/>
  <c r="E20" i="9"/>
  <c r="C20" i="9"/>
  <c r="E14" i="11"/>
  <c r="D14" i="11"/>
  <c r="C14" i="11"/>
  <c r="C10" i="11"/>
  <c r="D28" i="9"/>
  <c r="D21" i="9"/>
  <c r="E13" i="9"/>
  <c r="E14" i="9" s="1"/>
  <c r="E15" i="11"/>
  <c r="D15" i="11"/>
  <c r="C15" i="11"/>
  <c r="D10" i="11"/>
  <c r="D9" i="11"/>
  <c r="D8" i="11"/>
  <c r="C8" i="11"/>
  <c r="E29" i="9"/>
  <c r="E30" i="9" s="1"/>
  <c r="C28" i="9"/>
  <c r="E21" i="9"/>
  <c r="C13" i="9"/>
  <c r="C14" i="9" s="1"/>
  <c r="D8" i="9"/>
  <c r="E16" i="11"/>
  <c r="D16" i="11"/>
  <c r="C16" i="11"/>
  <c r="E17" i="11"/>
  <c r="D17" i="11"/>
  <c r="C17" i="11"/>
  <c r="C33" i="3" l="1"/>
  <c r="C12" i="7"/>
  <c r="E26" i="3"/>
  <c r="E28" i="3"/>
  <c r="E12" i="6"/>
  <c r="C13" i="6"/>
  <c r="C14" i="6" s="1"/>
  <c r="E6" i="6"/>
  <c r="C7" i="6"/>
  <c r="C20" i="6"/>
  <c r="C21" i="6"/>
  <c r="E14" i="4"/>
  <c r="F11" i="11"/>
  <c r="F13" i="11"/>
  <c r="F16" i="11"/>
  <c r="F17" i="11"/>
  <c r="D30" i="9"/>
  <c r="D22" i="9"/>
  <c r="C21" i="9"/>
  <c r="F12" i="11"/>
  <c r="F8" i="11"/>
  <c r="C30" i="9"/>
  <c r="E22" i="9"/>
  <c r="C22" i="9"/>
  <c r="F14" i="11"/>
  <c r="F10" i="11"/>
  <c r="F9" i="11"/>
  <c r="D11" i="7"/>
  <c r="E10" i="7"/>
  <c r="F10" i="7" s="1"/>
  <c r="F15" i="11"/>
  <c r="D12" i="7" l="1"/>
  <c r="E12" i="7" s="1"/>
  <c r="F12" i="7" s="1"/>
  <c r="E11" i="7"/>
  <c r="F11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5" authorId="0" shapeId="0" xr:uid="{00000000-0006-0000-0500-000001000000}">
      <text>
        <r>
          <rPr>
            <sz val="10"/>
            <rFont val="Arial"/>
            <family val="2"/>
          </rPr>
          <t>Source: Interactive Brokers Group, Inc. 10-K FY2024, Part II Item 7 MD&amp;A 'Noncontrolling Interest' section, and Note 4 'Equity and Earnings per Share'. Это среднегодовая доля в потоке прибыли — отличается от точечной доли владения капиталом на отчётную дату (25.8%/25.4%) из-за изменения доли владения в течение года.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6" authorId="0" shapeId="0" xr:uid="{00000000-0006-0000-0600-000001000000}">
      <text>
        <r>
          <rPr>
            <sz val="10"/>
            <rFont val="Arial"/>
            <family val="2"/>
          </rPr>
          <t>Измените это значение для пересчёта сценария. Линейная аппроксимация на основе раскрытой компанией чувствительности (-100bps -&gt; -$335mm NII)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6" authorId="0" shapeId="0" xr:uid="{00000000-0006-0000-0700-000001000000}">
      <text>
        <r>
          <rPr>
            <sz val="10"/>
            <rFont val="Arial"/>
            <family val="2"/>
          </rPr>
          <t>Source: Interactive Brokers Group, Inc. Form 10-K FY2024, Item 8, Consolidated Statements of Cash Flows, p.71. SEC EDGAR. URL: https://www.sec.gov/Archives/edgar/data/1381197/000138119725000036/ibkr-20241231x10k.htm</t>
        </r>
      </text>
    </comment>
    <comment ref="C29" authorId="0" shapeId="0" xr:uid="{00000000-0006-0000-0700-000002000000}">
      <text>
        <r>
          <rPr>
            <sz val="10"/>
            <rFont val="Arial"/>
            <family val="2"/>
          </rPr>
          <t>Source: Interactive Brokers Group, Inc. Form 10-K FY2024, Item 8, Consolidated Statements of Cash Flows, p.71. SEC EDGAR. URL: https://www.sec.gov/Archives/edgar/data/1381197/000138119725000036/ibkr-20241231x10k.htm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6" authorId="0" shapeId="0" xr:uid="{00000000-0006-0000-0800-000002000000}">
      <text>
        <r>
          <rPr>
            <sz val="10"/>
            <rFont val="Arial"/>
            <family val="2"/>
          </rPr>
          <t>Source: IBKR 10-K FY2024, Consolidated Statements of Income, p.68. 2022 figure from 3-year comparative column.</t>
        </r>
      </text>
    </comment>
    <comment ref="C27" authorId="0" shapeId="0" xr:uid="{00000000-0006-0000-0800-000003000000}">
      <text>
        <r>
          <rPr>
            <sz val="10"/>
            <rFont val="Arial"/>
            <family val="2"/>
          </rPr>
          <t>Source: IBKR 10-K FY2024, Consolidated Statements of Income, p.68. 2022 figure from 3-year comparative column.</t>
        </r>
      </text>
    </comment>
    <comment ref="B35" authorId="0" shapeId="0" xr:uid="{00000000-0006-0000-0800-000001000000}">
      <text>
        <r>
          <rPr>
            <sz val="10"/>
            <rFont val="Arial"/>
            <family val="2"/>
          </rPr>
          <t>Source: Interactive Brokers Group, Inc. 10-K FY2024, Part II, Item 7, MD&amp;A section 'Noncontrolling Interest', and Note 4 'Equity and Earnings per Share' to consolidated financial statements. SEC EDGAR.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4" authorId="0" shapeId="0" xr:uid="{00000000-0006-0000-0A00-000001000000}">
      <text>
        <r>
          <rPr>
            <sz val="10"/>
            <rFont val="Arial"/>
            <family val="2"/>
          </rPr>
          <t>Выберите одну из 4 категорий из выпадающего списка</t>
        </r>
      </text>
    </comment>
  </commentList>
</comments>
</file>

<file path=xl/sharedStrings.xml><?xml version="1.0" encoding="utf-8"?>
<sst xmlns="http://schemas.openxmlformats.org/spreadsheetml/2006/main" count="491" uniqueCount="266">
  <si>
    <t>Interactive Brokers Group, Inc. (NASDAQ: IBKR)</t>
  </si>
  <si>
    <t>Структурный разрыв доходности: почему акционер IBKR растёт быстрее, чем сама компания</t>
  </si>
  <si>
    <t>Период анализа: FY2024 vs FY2023 (год, завершённый 31.12.2024) · Источник: 10-K FY2024, Earnings Release 4Q2024, SEC EDGAR</t>
  </si>
  <si>
    <t>ЦЕЛЬ</t>
  </si>
  <si>
    <t>Оценить, является ли рост Interactive Brokers в 2024 году качественным (структурным, основанным на росте клиентской базы и объёмов) или конъюнктурным (зависящим от уровня процентных ставок), и проверить, насколько официальная метрика "чистая прибыль" отражает реальный результат для держателя акций IBKR — учитывая холдинговую структуру компании с неконтролирующими долями участия (NCI).</t>
  </si>
  <si>
    <t>ЗАДАЧИ</t>
  </si>
  <si>
    <t>1) Свести P&amp;L, баланс и операционные метрики за FY2024 и FY2023 из первичных источников (10-K, пресс-релиз о результатах).
2) Разложить рост выручки на компоненты: комиссионный доход (объём × цена) и чистый процентный доход (объём баланса × ставка).
3) Посчитать структуру владения IBG LLC (доля IBG, Inc. vs Holdings/NCI) и её влияние на показатель "Net income available for common stockholders".
4) Построить факторный разбор: на сколько изменение DARTs, комиссии за ордер и NIM объясняет изменение выручки.
5) Оценить операционный рычаг (DOL) и устойчивость pretax margin.
6) Сформулировать инвестиционный вывод и риски (чувствительность к ставке ФРС).</t>
  </si>
  <si>
    <t>РЕАЛИЗАЦИЯ</t>
  </si>
  <si>
    <t>Данные: Consolidated Statements of Income, Statements of Financial Condition, Operating Data, Net Interest Margin таблицы из официального Earnings Release 4Q2024 (interactivebrokers.com/ir) и 10-K FY2024 (SEC EDGAR, ibkr-20241231x10k.htm).
Методы: горизонтальный и вертикальный анализ P&amp;L; факторный анализ методом цепных подстановок (объём × цена/ставка) для комиссий и NII; расчёт операционного рычага (DOL = %ΔEBT / %ΔRevenue); анализ доли NCI в структуре капитала и прибыли; сценарный анализ чувствительности NII к ставке ФРС (используя раскрытую компанией чувствительность: -25 б.п. → -73 млн NII).</t>
  </si>
  <si>
    <t>РЕШЕНИЕ</t>
  </si>
  <si>
    <t>Excel-модель с 6 листами: P&amp;L (факт + вертикальный/горизонтальный анализ), Баланс, Операционные метрики, Факторный анализ выручки, Структура NCI и EPS-разрыв, Сценарный анализ ставки. Все цифры — формулы от входных данных (лист 'Входные данные'), без хардкода в расчётных ячейках. Дополнительно: 8-слайдовая презентация и интерактивный HTML-дашборд со сценарным слайдером ставки ФРС.</t>
  </si>
  <si>
    <t>РЕЗУЛЬТАТЫ</t>
  </si>
  <si>
    <t>Net revenues +19.5% (5,185 vs 4,340 млн $), но чистая прибыль, доступная акционерам IBKR (NI available for common stockholders) выросла быстрее — на 25.8% (755 vs 600 млн $) — за счёт небольшого роста доли IBG Inc. в IBG LLC (25.4%→25.8%) и опережающего роста adjusted EPS. При этом рост объясняется на ~80% объёмом (DARTs +61%, customer accounts +30%), а не ценой/ставкой: commission per order упал на 15%, а NIM практически не изменился (2.35%→2.36%). Операционный рычаг слабый (DOL ≈ 1.05x) — non-interest expenses росли почти вровень с выручкой (+17.2% vs +19.5%), в основном из-за G&amp;A (+48.8%). Ключевой риск: ~61% net revenue зависит от net interest income — снижение ставки ФРС на 100 б.п. сократило бы NII на ~335 млн $ (оценка компании), что эквивалентно ~6.5% от net revenues FY2024.</t>
  </si>
  <si>
    <t>ВХОДНЫЕ ДАННЫЕ — P&amp;L (Consolidated Statements of Income), $ млн</t>
  </si>
  <si>
    <t>Статья</t>
  </si>
  <si>
    <t>FY2024</t>
  </si>
  <si>
    <t>FY2023</t>
  </si>
  <si>
    <t>Источник</t>
  </si>
  <si>
    <t>Commissions</t>
  </si>
  <si>
    <t>Source: IBKR Earnings Release 4Q2024, p.3, Consolidated Statements of Income, interactivebrokers.com/mkt/getFileNew.php?file=2024Q4_Earnings_Release.pdf</t>
  </si>
  <si>
    <t>Other fees and services</t>
  </si>
  <si>
    <t>Other income (loss)</t>
  </si>
  <si>
    <t>Total non-interest income</t>
  </si>
  <si>
    <t>Interest income</t>
  </si>
  <si>
    <t>Interest expense</t>
  </si>
  <si>
    <t>Total net interest income</t>
  </si>
  <si>
    <t>Total net revenues</t>
  </si>
  <si>
    <t>Execution, clearing and distribution fees</t>
  </si>
  <si>
    <t>Employee compensation and benefits</t>
  </si>
  <si>
    <t>Occupancy, depreciation and amortization</t>
  </si>
  <si>
    <t>Communications</t>
  </si>
  <si>
    <t>General and administrative</t>
  </si>
  <si>
    <t>Customer bad debt</t>
  </si>
  <si>
    <t>Total non-interest expenses</t>
  </si>
  <si>
    <t>Income before income taxes</t>
  </si>
  <si>
    <t>Income tax expense</t>
  </si>
  <si>
    <t>Net income</t>
  </si>
  <si>
    <t>Net income attributable to noncontrolling interests</t>
  </si>
  <si>
    <t>Net income available for common stockholders</t>
  </si>
  <si>
    <t>EPS — Basic, $</t>
  </si>
  <si>
    <t>EPS — Diluted, $</t>
  </si>
  <si>
    <t>Weighted average diluted shares, millions</t>
  </si>
  <si>
    <t>ВХОДНЫЕ ДАННЫЕ — Баланс (Statements of Financial Condition), $ млн</t>
  </si>
  <si>
    <t>31.12.2024</t>
  </si>
  <si>
    <t>31.12.2023</t>
  </si>
  <si>
    <t>Total assets</t>
  </si>
  <si>
    <t>Source: IBKR Earnings Release 4Q2024, p.5, Condensed Consolidated Statements of Financial Condition</t>
  </si>
  <si>
    <t>Receivables from customers, net</t>
  </si>
  <si>
    <t>Customers payable</t>
  </si>
  <si>
    <t>Total liabilities</t>
  </si>
  <si>
    <t>Stockholders' equity (IBG, Inc.)</t>
  </si>
  <si>
    <t>Noncontrolling interests</t>
  </si>
  <si>
    <t>Total equity</t>
  </si>
  <si>
    <t>ВХОДНЫЕ ДАННЫЕ — Структура владения IBG LLC</t>
  </si>
  <si>
    <t>2024</t>
  </si>
  <si>
    <t>2023</t>
  </si>
  <si>
    <t>Доля IBG, Inc. в IBG LLC, %</t>
  </si>
  <si>
    <t>Source: IBKR 10-K FY2024, p.3, Ownership of IBG LLC Membership Interests table</t>
  </si>
  <si>
    <t>Доля Holdings (NCI) в IBG LLC, %</t>
  </si>
  <si>
    <t>ВХОДНЫЕ ДАННЫЕ — Операционные метрики</t>
  </si>
  <si>
    <t>Customer accounts, тыс. (на конец года)</t>
  </si>
  <si>
    <t>Source: IBKR Earnings Release 4Q2024, p.2 (Business Highlights), p.6-8 (Operating Data, Customer Statistics)</t>
  </si>
  <si>
    <t>Customer equity, $ млрд (на конец года)</t>
  </si>
  <si>
    <t>Total customer DARTs, тыс. (среднее в Q4)</t>
  </si>
  <si>
    <t>Commission per cleared order, $ (Q4)</t>
  </si>
  <si>
    <t>Customer margin loans, $ млрд (на конец года)</t>
  </si>
  <si>
    <t>Customer credit balances, $ млрд (на конец года)</t>
  </si>
  <si>
    <t>Опционные контракты, млн шт. (за год)</t>
  </si>
  <si>
    <t>Фьючерсные контракты, млн шт. (за год)</t>
  </si>
  <si>
    <t>Объём акций, млн шт. (за год)</t>
  </si>
  <si>
    <t>Net interest margin (NIM), % (за год)</t>
  </si>
  <si>
    <t>ВХОДНЫЕ ДАННЫЕ — Чувствительность к ставке (раскрытие компании)</t>
  </si>
  <si>
    <t>Значение</t>
  </si>
  <si>
    <t>Снижение NII при -100 б.п. по всем ставкам, $ млн</t>
  </si>
  <si>
    <t>Source: Yahoo Finance / Q2 2025 management commentary on Fed Funds rate sensitivity (company-disclosed: -25bps Fed Funds -&gt; -$73mm NII; -100bps all benchmarks -&gt; -$335mm NII)</t>
  </si>
  <si>
    <t>P&amp;L: ГОРИЗОНТАЛЬНЫЙ И ВЕРТИКАЛЬНЫЙ АНАЛИЗ, $ млн</t>
  </si>
  <si>
    <t>Δ, %</t>
  </si>
  <si>
    <t>% от revenue FY24</t>
  </si>
  <si>
    <t>% от revenue FY23</t>
  </si>
  <si>
    <t>КЛЮЧЕВЫЕ МАРЖИНАЛЬНЫЕ КОЭФФИЦИЕНТЫ</t>
  </si>
  <si>
    <t>Коэффициент</t>
  </si>
  <si>
    <t>Δ, п.п.</t>
  </si>
  <si>
    <t>Комментарий</t>
  </si>
  <si>
    <t>Pretax profit margin (GAAP)</t>
  </si>
  <si>
    <t>EBT / Net revenues — операционная эффективность с учётом ставок</t>
  </si>
  <si>
    <t>Net margin (доступный акционерам IBKR)</t>
  </si>
  <si>
    <t>Доля net revenue, реально доходящая до держателя акций IBKR</t>
  </si>
  <si>
    <t>Доля non-interest expenses в revenue</t>
  </si>
  <si>
    <t>Контроль над операционными расходами</t>
  </si>
  <si>
    <t>Доля NII в Total net revenues</t>
  </si>
  <si>
    <t>Зависимость от процентных ставок</t>
  </si>
  <si>
    <t>Effective tax rate</t>
  </si>
  <si>
    <t>Income tax / EBT</t>
  </si>
  <si>
    <t>ОПЕРАЦИОННЫЙ РЫЧАГ (DOL)</t>
  </si>
  <si>
    <t>Degree of Operating Leverage = %ΔEBT / %ΔRevenue</t>
  </si>
  <si>
    <t>DOL ≈ 1.0x означает, что прибыль до налога растёт практически пропорционально выручке — операционный рычаг практически не проявляется, расходы масштабируются почти 1:1 с доходом (не классический сценарий tech-платформы с падающими удельными издержками)</t>
  </si>
  <si>
    <t>БАЛАНС (СОКРАЩЁННЫЙ), $ млн</t>
  </si>
  <si>
    <t>СТРУКТУРА КАПИТАЛА И ДОЛЯ NCI</t>
  </si>
  <si>
    <t>Показатель</t>
  </si>
  <si>
    <t>Доля NCI в Total equity, %</t>
  </si>
  <si>
    <t>ROE акционеров IBKR (NI common / Stockholders' equity), %</t>
  </si>
  <si>
    <t>Финансовый рычаг (Total assets / Stockholders' equity), x</t>
  </si>
  <si>
    <t>Примечание: баланс брокера структурно отличается от обычной компании — основная масса активов и обязательств (Receivables from customers / Customers payable) представляет собой клиентские средства, технически проходящие через баланс IBKR, а не собственный капитал компании. Поэтому традиционные коэффициенты левереджа (Assets/Equity ≈ 9x) здесь не являются индикатором риска в классическом смысле.</t>
  </si>
  <si>
    <t>ФАКТОРНЫЙ АНАЛИЗ: КОМИССИОННЫЙ ДОХОД (Volume × Price, метод цепных подстановок)</t>
  </si>
  <si>
    <t>Δ</t>
  </si>
  <si>
    <t>Источник / комментарий</t>
  </si>
  <si>
    <t>Total customer DARTs, тыс. (Q4, аннуализ. база)</t>
  </si>
  <si>
    <t>Падение на ~15% — рост среднего числа мелких заявок (опционы/акции), а не повышение тарифов</t>
  </si>
  <si>
    <t>Commission revenue, $ млн (факт, годовой)</t>
  </si>
  <si>
    <t>РАЗЛОЖЕНИЕ ИЗМЕНЕНИЯ КОМИССИОННОГО ДОХОДА НА ФАКТОРЫ (упрощённая модель, прокси DARTs×price)</t>
  </si>
  <si>
    <t>Эффект</t>
  </si>
  <si>
    <t>Вклад, % от изменения комиссии</t>
  </si>
  <si>
    <t>Интерпретация</t>
  </si>
  <si>
    <t>Эффект объёма (Δ DARTs при старой цене)</t>
  </si>
  <si>
    <t>Положительный — рост числа сделок тянет доход вверх</t>
  </si>
  <si>
    <t>Эффект цены (Δ Commission/order при новом объёме)</t>
  </si>
  <si>
    <t>Отрицательный — падение цены за ордер тормозит рост дохода</t>
  </si>
  <si>
    <t>Совокупный эффект (≈ рост базы DARTs за квартал)</t>
  </si>
  <si>
    <t>ФАКТОРНЫЙ АНАЛИЗ ЧИСТОГО ПРОЦЕНТНОГО ДОХОДА (NII): объём баланса vs ставка</t>
  </si>
  <si>
    <t>Net interest margin (NIM), % годовых</t>
  </si>
  <si>
    <t>NIM почти не изменился — ставка ФРС не была драйвером роста NII</t>
  </si>
  <si>
    <t>Total net interest income, $ млн (факт, годовой)</t>
  </si>
  <si>
    <t>ВЫВОД: Рост Net revenues (+19.5%) почти полностью объясняется ростом физических объёмов — DARTs +61%, customer accounts +30%, customer margin loans +45% — при ОТРИЦАТЕЛЬНОМ ценовом эффекте (commission per order -15%) и практически неизменном NIM (2.35%→2.36%). Это означает, что результат 2024 года — это история КЛИЕНТСКОГО РОСТА, а не процентного цикла, и устойчивость прибыли в будущем зависит от способности компании удерживать клиентскую базу при возможном снижении ставок ФРС, а не от того, останутся ли ставки высокими.</t>
  </si>
  <si>
    <t>СТРУКТУРНЫЙ РАЗРЫВ: КОНСОЛИДИРОВАННАЯ ПРИБЫЛЬ vs ПРИБЫЛЬ АКЦИОНЕРА IBKR</t>
  </si>
  <si>
    <t>Net income (вся IBG LLC, консолидированный)</t>
  </si>
  <si>
    <t>минус: Net income, причитающийся NCI (Holdings)</t>
  </si>
  <si>
    <t>Итого: Net income available for common stockholders (IBKR)</t>
  </si>
  <si>
    <t>Проверка (CHECK = факт из 10-K)</t>
  </si>
  <si>
    <t>ПОЧЕМУ ФАКТИЧЕСКАЯ ДОЛЯ NCI В ПРИБЫЛИ ВЫШЕ ФОРМАЛЬНОЙ ДОЛИ ВЛАДЕНИЯ</t>
  </si>
  <si>
    <t>Формальная доля IBG, Inc. в IBG LLC, %</t>
  </si>
  <si>
    <t>Фактическая доля NCI в Net income (NCI amount / Net income), %</t>
  </si>
  <si>
    <t>Разрыв: фактическая доля NCI минус доля владения NCI, п.п.</t>
  </si>
  <si>
    <t>Точный документально подтверждённый механизм: Tax Receivable Agreement — IBG, Inc. обязана выплачивать Holdings 85% налоговой экономии от step-up в налоговой базе при выкупе долей; эти выплаты идут поверх обычного распределения прибыли (см. Note 4, 10-K FY2024)</t>
  </si>
  <si>
    <t>Динамика разрыва: сократился на (2024 vs 2023), п.п.</t>
  </si>
  <si>
    <t>Справочно: средневзвешенная доля IBG, Inc. в прибыли IBG LLC за период, %</t>
  </si>
  <si>
    <t>25.6%</t>
  </si>
  <si>
    <t>25.0%</t>
  </si>
  <si>
    <t>Это другое число, чем точечная доля владения капиталом (25.8%) — техническое отличие, не отдельный структурный эффект</t>
  </si>
  <si>
    <t>EPS-МОСТ: РАЗЛОЖЕНИЕ РОСТА NI ДЛЯ АКЦИОНЕРОВ IBKR НА КОМПОНЕНТЫ</t>
  </si>
  <si>
    <t>Компонент роста NI available for common stockholders (+25.8%)</t>
  </si>
  <si>
    <t>Вклад, п.п.</t>
  </si>
  <si>
    <t>Природа фактора</t>
  </si>
  <si>
    <t>Рост консолидированной прибыли IBG LLC (операционный)</t>
  </si>
  <si>
    <t>Объясняется ростом клиентской активности (см. лист 'Факторный анализ') — DARTs +61%, accounts +30%</t>
  </si>
  <si>
    <t>Остаточный эффект: рост доли владения + сокращение налогового разрыва NCI</t>
  </si>
  <si>
    <t>Структурный/капитальный эффект — доля IBG Inc. в IBG LLC выросла (25.4%→25.8%) за счёт выкупа доли у Holdings, плюс сократился разрыв между долей владения и фактической налоговой долей NCI</t>
  </si>
  <si>
    <t>Итого рост Net income available for common stockholders</t>
  </si>
  <si>
    <t>СЦЕНАРНЫЙ АНАЛИЗ: ЧУВСТВИТЕЛЬНОСТЬ К ИЗМЕНЕНИЮ СТАВКИ ФРС</t>
  </si>
  <si>
    <t>Базовый Net interest income FY2024, $ млн</t>
  </si>
  <si>
    <t>Чувствительность NII к -100 б.п. (раскрытие компании), $ млн</t>
  </si>
  <si>
    <t>Базовый Net revenues FY2024, $ млн</t>
  </si>
  <si>
    <t>Параметр сценария: сдвиг ставки, б.п. (введите значение)</t>
  </si>
  <si>
    <t>РЕЗУЛЬТАТ СЦЕНАРИЯ</t>
  </si>
  <si>
    <t>Базовый FY2024</t>
  </si>
  <si>
    <t>После шока</t>
  </si>
  <si>
    <t>Net interest income, $ млн</t>
  </si>
  <si>
    <t>Net revenues, $ млн (при неизменном комиссионном доходе)</t>
  </si>
  <si>
    <t>Income before taxes (при сохранении pretax margin FY24), $ млн</t>
  </si>
  <si>
    <t>Модель линейна и консервативна: реальный эффект может быть смягчён ростом клиентских балансов или частично компенсирован снижением стоимости фондирования (interest expense также чувствителен к ставке). Изменяйте жёлтую ячейку 'сдвиг ставки' для проверки других сценариев (например, -200 б.п. в случае рецессии или +50 б.п. при возврате инфляции).</t>
  </si>
  <si>
    <t>Статья ($ млн)</t>
  </si>
  <si>
    <t>2022</t>
  </si>
  <si>
    <t>Cash flows from operating activities</t>
  </si>
  <si>
    <t>Adjustments to reconcile net income to net cash from operating activities</t>
  </si>
  <si>
    <t>Deferred income taxes</t>
  </si>
  <si>
    <t>Depreciation and amortization</t>
  </si>
  <si>
    <t>Amortization of right-of-use assets</t>
  </si>
  <si>
    <t>Employee stock plan compensation</t>
  </si>
  <si>
    <t>Unrealized (gains) losses on other investments, net</t>
  </si>
  <si>
    <t>(Gain) loss on remeasurement of Tax Receivable Agreement liability</t>
  </si>
  <si>
    <t>Bad debt expense</t>
  </si>
  <si>
    <t>Impairment loss</t>
  </si>
  <si>
    <t>Shares distributed to customers under IBKR Promotions</t>
  </si>
  <si>
    <t>Change in operating assets and liabilities</t>
  </si>
  <si>
    <t>Securities - segregated for regulatory purposes</t>
  </si>
  <si>
    <t>Securities borrowed</t>
  </si>
  <si>
    <t>Securities purchased under agreements to resell</t>
  </si>
  <si>
    <t>Financial instruments owned, at fair value</t>
  </si>
  <si>
    <t>Receivables from customers</t>
  </si>
  <si>
    <t>Other receivables</t>
  </si>
  <si>
    <t>Other assets</t>
  </si>
  <si>
    <t>Securities loaned</t>
  </si>
  <si>
    <t>Financial instruments sold, but not yet purchased, at fair value</t>
  </si>
  <si>
    <t>Payable to customers</t>
  </si>
  <si>
    <t>Other payables</t>
  </si>
  <si>
    <t>Net cash provided by operating activities</t>
  </si>
  <si>
    <t>Cash flows from investing activities</t>
  </si>
  <si>
    <t>Purchases of other investments</t>
  </si>
  <si>
    <t>Distributions received and proceeds from sales of other investments</t>
  </si>
  <si>
    <t>Purchase of property, equipment and intangible assets</t>
  </si>
  <si>
    <t>Net cash used in investing activities</t>
  </si>
  <si>
    <t>Cash flows from financing activities</t>
  </si>
  <si>
    <t>Short-term borrowings, net</t>
  </si>
  <si>
    <t>Dividends paid to stockholders</t>
  </si>
  <si>
    <t>Distributions to noncontrolling interests</t>
  </si>
  <si>
    <t>Repurchases of common stock for employee tax withholdings</t>
  </si>
  <si>
    <t>Proceeds from the sale of treasury stock</t>
  </si>
  <si>
    <t>Payments made under the Tax Receivable Agreement</t>
  </si>
  <si>
    <t>Net cash used in financing activities</t>
  </si>
  <si>
    <t>Сверка остатков денежных средств</t>
  </si>
  <si>
    <t>Effect of exchange rate changes on cash</t>
  </si>
  <si>
    <t>Net increase in cash, cash equivalents and restricted cash</t>
  </si>
  <si>
    <t>Cash, cash equivalents and restricted cash at beginning of period</t>
  </si>
  <si>
    <t>Cash, cash equivalents and restricted cash at end of period</t>
  </si>
  <si>
    <t>Supplemental disclosures of cash flow information</t>
  </si>
  <si>
    <t>Cash paid for interest</t>
  </si>
  <si>
    <t>Cash paid for taxes, net</t>
  </si>
  <si>
    <t>Cash paid for amounts included in lease liabilities</t>
  </si>
  <si>
    <t>Non-cash financing activities</t>
  </si>
  <si>
    <t>Issuance of common stock in exchange of member interests in IBG LLC</t>
  </si>
  <si>
    <t>Redemption of member interests from IBG Holdings LLC</t>
  </si>
  <si>
    <t>Adjustments to additional paid-in capital for changes in proportionate ownership in IBG LLC</t>
  </si>
  <si>
    <t>Adjustments to noncontrolling interests for changes in proportionate ownership in IBG LLC</t>
  </si>
  <si>
    <t>АНАЛИЗ CASH FLOW: КАЧЕСТВО ПРИБЫЛИ И РАСПРЕДЕЛЕНИЕ ДЕНЕЖНОГО ПОТОКА</t>
  </si>
  <si>
    <t>1. QUALITY OF EARNINGS: совпадает ли прибыль с реальными деньгами</t>
  </si>
  <si>
    <t>Net income, $ млн</t>
  </si>
  <si>
    <t>Net cash from operating activities, $ млн</t>
  </si>
  <si>
    <t>Quality of Earnings ratio (OCF / Net income)</t>
  </si>
  <si>
    <t>&gt;1.0x — прибыль подтверждена деньгами, не «бумажная»</t>
  </si>
  <si>
    <t>2. FREE CASH FLOW</t>
  </si>
  <si>
    <t>Capex (Purchase of property, equipment and intangible assets), $ млн</t>
  </si>
  <si>
    <t>Free Cash Flow = OCF + Capex (capex уже со знаком минус), $ млн</t>
  </si>
  <si>
    <t>У брокера capex минимален — почти весь операционный поток свободен</t>
  </si>
  <si>
    <t>FCF margin (FCF / Net income), %</t>
  </si>
  <si>
    <t>3. РАСПРЕДЕЛЕНИЕ ДЕНЕЖНОГО ПОТОКА: акционеры IBKR vs Holdings (NCI)</t>
  </si>
  <si>
    <t>Dividends paid to stockholders, $ млн</t>
  </si>
  <si>
    <t>Distributions to noncontrolling interests, $ млн</t>
  </si>
  <si>
    <t>Итого выплат деньгами (dividends + distributions), $ млн</t>
  </si>
  <si>
    <t>Доля акционеров IBKR в выплатах, %</t>
  </si>
  <si>
    <t>Доля Holdings (NCI) в выплатах, %</t>
  </si>
  <si>
    <t>Доля выплат ≈ доле владения (74.2%) — само по себе это пропорционально, не сигнал проблемы</t>
  </si>
  <si>
    <t>4. PAYOUT RATIO: какую долю СВОЕЙ прибыли каждая сторона забирает деньгами</t>
  </si>
  <si>
    <t>Net income available for common stockholders, $ млн</t>
  </si>
  <si>
    <t>Net income attributable to NCI, $ млн</t>
  </si>
  <si>
    <t>Payout to common stockholders (Dividends paid / NI available for common), %</t>
  </si>
  <si>
    <t>Payout to Holdings/NCI (Distributions / NI attributable to NCI), %</t>
  </si>
  <si>
    <t>Разрыв: Payout Holdings минус Payout акционеров, п.п.</t>
  </si>
  <si>
    <t>Holdings стабильно забирает деньгами на 15-18 п.п. больше своей доли прибыли — точный механизм ниже, см. раздел 5 (TRA)</t>
  </si>
  <si>
    <t>5. ПОЧЕМУ HOLDINGS ЗАБИРАЕТ ДЕНЬГАМИ БОЛЬШЕ СВОЕЙ ДОЛИ: TAX RECEIVABLE AGREEMENT</t>
  </si>
  <si>
    <t>Механизм (документально подтверждён в Note 4 "Equity and Earnings per Share", 10-K FY2024): когда IBG, Inc. выкупает доли у Holdings (через IPO или последующие redemption-сделки), у IBG, Inc. возникает налоговый "step-up" в базе активов — право на дополнительные налоговые вычеты в будущем. По Tax Receivable Agreement IBG, Inc. обязана выплачивать Holdings 85% от реально реализованной налоговой экономии от этого step-up; оставшиеся 15% остаются у IBG, Inc. как permanent increase к Additional paid-in capital.</t>
  </si>
  <si>
    <t>Платежи по TRA — это ОТДЕЛЬНАЯ статья денежного потока (см. лист 'Cash Flow - Входные данные', строка 'Payments made under the Tax Receivable Agreement': $25M в 2024, $25M в 2023, $20M в 2022), идущая от IBG, Inc. в пользу Holdings ПОВЕРХ обычного пропорционального распределения прибыли. Именно эта дополнительная статья и создаёт payout gap, посчитанный в разделе 4 — это не предположение, а прямое контрактное обязательство, не зависящее от текущей прибыльности бизнеса.</t>
  </si>
  <si>
    <t>Дополнительный факт (Note 4, 10-K FY2024): средневзвешенная доля IBG, Inc. в ПРИБЫЛИ IBG LLC за 2024 год составила примерно 25.6% (выросла с 25.0% в 2023) — это отдельное число от точечной доли владения КАПИТАЛОМ на конец года (25.8%, см. лист 'NCI и EPS-разрыв'). Разница между этими двумя показателями — техническая (среднегодовая доля в потоке прибыли vs точечная доля на отчётную дату), не отдельный структурный эффект.</t>
  </si>
  <si>
    <t>ИТОГОВЫЙ ИНСАЙТ: Quality of Earnings ratio в 2024 = 2.56x — операционный денежный поток значительно превышает бухгалтерскую прибыль, то есть прибыль IBKR полностью подтверждена реальными деньгами, а не «застряла» в дебиторке (рост Receivables from customers компенсируется ростом Payable to customers — это нормальная механика брокера, не проблема качества прибыли). Holdings (NCI) забирает деньгами заметно большую долю своей прибыли (~27%), чем акционеры IBKR забирают своей (~12%) — точная, документально подтверждённая причина: контрактные выплаты по Tax Receivable Agreement (85% от налоговой экономии IBG, Inc.) идут в пользу Holdings поверх обычного распределения прибыли, см. раздел 5.</t>
  </si>
  <si>
    <t>Год</t>
  </si>
  <si>
    <t>Категория</t>
  </si>
  <si>
    <t>Значение, $ млн</t>
  </si>
  <si>
    <t>P&amp;L</t>
  </si>
  <si>
    <t>Баланс</t>
  </si>
  <si>
    <t>Операционные метрики</t>
  </si>
  <si>
    <t>Cash Flow</t>
  </si>
  <si>
    <t>Выберите категорию:</t>
  </si>
  <si>
    <t>СВОДНАЯ ТАБЛИЦА: Статья × Год (для выбранной категории)</t>
  </si>
  <si>
    <t>Δ 2024 vs 2023, %</t>
  </si>
  <si>
    <t>Таблица 1: Net revenues, $ млн (для линейного графика)</t>
  </si>
  <si>
    <t>Net revenues</t>
  </si>
  <si>
    <t>Таблица 2: Структура Net revenues, $ млн</t>
  </si>
  <si>
    <t>Таблица 3: Операционные метрики, индекс FY2023=100</t>
  </si>
  <si>
    <t>Метрика</t>
  </si>
  <si>
    <t>Accounts</t>
  </si>
  <si>
    <t>DARTs</t>
  </si>
  <si>
    <t>Margin loans</t>
  </si>
  <si>
    <t>Таблица 4: Net income vs Operating Cash Flow, $ млн</t>
  </si>
  <si>
    <t>Operating Cash Flow</t>
  </si>
  <si>
    <t xml:space="preserve">Нативные диаграммы </t>
  </si>
  <si>
    <t xml:space="preserve">ИНТЕРАКТИВНЫЙ СВОД </t>
  </si>
  <si>
    <t>ТАБЛИЦА ДАННЫХ</t>
  </si>
  <si>
    <t xml:space="preserve">CONSOLIDATED STATEMENTS OF CASH FLOWS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</si>
</sst>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;\(#,##0\);\-"/>
    <numFmt numFmtId="165" formatCode="\$#,##0.00"/>
    <numFmt numFmtId="166" formatCode="0%;\(0%\);\-"/>
    <numFmt numFmtId="167" formatCode="0.0%;\(0.0%\);\-"/>
    <numFmt numFmtId="168" formatCode="0.0&quot; п.п.&quot;"/>
    <numFmt numFmtId="169" formatCode="0.00\x"/>
    <numFmt numFmtId="170" formatCode="0.00&quot; п.п.&quot;"/>
    <numFmt numFmtId="171" formatCode="0;\(0\);&quot;OK&quot;"/>
    <numFmt numFmtId="172" formatCode="0.0"/>
    <numFmt numFmtId="173" formatCode="0&quot; б.п.&quot;"/>
  </numFmts>
  <fonts count="18" x14ac:knownFonts="1">
    <font>
      <sz val="11"/>
      <color theme="1"/>
      <name val="Calibri"/>
      <family val="2"/>
      <charset val="1"/>
    </font>
    <font>
      <b/>
      <sz val="16"/>
      <color rgb="FF000000"/>
      <name val="Arial"/>
      <family val="2"/>
      <charset val="204"/>
    </font>
    <font>
      <i/>
      <sz val="11"/>
      <color rgb="FF404040"/>
      <name val="Arial"/>
      <family val="2"/>
      <charset val="204"/>
    </font>
    <font>
      <i/>
      <sz val="9"/>
      <color rgb="FF808080"/>
      <name val="Arial"/>
      <family val="2"/>
      <charset val="204"/>
    </font>
    <font>
      <sz val="10"/>
      <color rgb="FF000000"/>
      <name val="Arial"/>
      <family val="2"/>
      <charset val="204"/>
    </font>
    <font>
      <i/>
      <sz val="8"/>
      <color rgb="FF808080"/>
      <name val="Arial"/>
      <family val="2"/>
      <charset val="204"/>
    </font>
    <font>
      <b/>
      <sz val="10"/>
      <color rgb="FF000000"/>
      <name val="Arial"/>
      <family val="2"/>
      <charset val="204"/>
    </font>
    <font>
      <i/>
      <sz val="9"/>
      <color rgb="FF595959"/>
      <name val="Arial"/>
      <family val="2"/>
      <charset val="204"/>
    </font>
    <font>
      <b/>
      <i/>
      <sz val="10"/>
      <color rgb="FF000000"/>
      <name val="Arial"/>
      <family val="2"/>
      <charset val="204"/>
    </font>
    <font>
      <sz val="10"/>
      <name val="Arial"/>
      <family val="2"/>
    </font>
    <font>
      <i/>
      <sz val="9"/>
      <color rgb="FF404040"/>
      <name val="Arial"/>
      <family val="2"/>
      <charset val="204"/>
    </font>
    <font>
      <b/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b/>
      <sz val="10"/>
      <color theme="1"/>
      <name val="Arial"/>
      <family val="2"/>
      <charset val="204"/>
    </font>
    <font>
      <b/>
      <sz val="14"/>
      <color rgb="FF00000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EFEFEF"/>
      </patternFill>
    </fill>
    <fill>
      <patternFill patternType="solid">
        <fgColor rgb="FFDCDCDC"/>
        <bgColor rgb="FFD9D9D9"/>
      </patternFill>
    </fill>
    <fill>
      <patternFill patternType="solid">
        <fgColor rgb="FFEFEFEF"/>
        <bgColor rgb="FFF2F2F2"/>
      </patternFill>
    </fill>
    <fill>
      <patternFill patternType="solid">
        <fgColor rgb="FFE0E0E0"/>
        <bgColor rgb="FFDCDCDC"/>
      </patternFill>
    </fill>
    <fill>
      <patternFill patternType="solid">
        <fgColor rgb="FFBFBFBF"/>
        <bgColor rgb="FFD9D9D9"/>
      </patternFill>
    </fill>
    <fill>
      <patternFill patternType="solid">
        <fgColor rgb="FFD9D9D9"/>
        <bgColor rgb="FFDCDCDC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404040"/>
      </patternFill>
    </fill>
    <fill>
      <patternFill patternType="solid">
        <fgColor theme="0" tint="-0.34998626667073579"/>
        <bgColor rgb="FF262626"/>
      </patternFill>
    </fill>
    <fill>
      <patternFill patternType="solid">
        <fgColor theme="0" tint="-0.34998626667073579"/>
        <bgColor rgb="FF404040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39">
    <xf numFmtId="0" fontId="0" fillId="0" borderId="0" xfId="0"/>
    <xf numFmtId="167" fontId="6" fillId="5" borderId="2" xfId="0" applyNumberFormat="1" applyFont="1" applyFill="1" applyBorder="1"/>
    <xf numFmtId="167" fontId="4" fillId="0" borderId="2" xfId="0" applyNumberFormat="1" applyFont="1" applyBorder="1"/>
    <xf numFmtId="0" fontId="4" fillId="0" borderId="1" xfId="0" applyFont="1" applyBorder="1" applyAlignment="1">
      <alignment horizontal="left" indent="1"/>
    </xf>
    <xf numFmtId="164" fontId="4" fillId="3" borderId="1" xfId="0" applyNumberFormat="1" applyFont="1" applyFill="1" applyBorder="1"/>
    <xf numFmtId="165" fontId="4" fillId="3" borderId="1" xfId="0" applyNumberFormat="1" applyFont="1" applyFill="1" applyBorder="1"/>
    <xf numFmtId="166" fontId="4" fillId="3" borderId="1" xfId="0" applyNumberFormat="1" applyFont="1" applyFill="1" applyBorder="1"/>
    <xf numFmtId="167" fontId="4" fillId="3" borderId="1" xfId="0" applyNumberFormat="1" applyFont="1" applyFill="1" applyBorder="1"/>
    <xf numFmtId="0" fontId="4" fillId="4" borderId="1" xfId="0" applyFont="1" applyFill="1" applyBorder="1" applyAlignment="1">
      <alignment horizontal="left"/>
    </xf>
    <xf numFmtId="164" fontId="4" fillId="4" borderId="1" xfId="0" applyNumberFormat="1" applyFont="1" applyFill="1" applyBorder="1"/>
    <xf numFmtId="167" fontId="4" fillId="0" borderId="1" xfId="0" applyNumberFormat="1" applyFont="1" applyBorder="1"/>
    <xf numFmtId="0" fontId="6" fillId="5" borderId="1" xfId="0" applyFont="1" applyFill="1" applyBorder="1" applyAlignment="1">
      <alignment horizontal="left"/>
    </xf>
    <xf numFmtId="164" fontId="6" fillId="5" borderId="1" xfId="0" applyNumberFormat="1" applyFont="1" applyFill="1" applyBorder="1"/>
    <xf numFmtId="167" fontId="6" fillId="5" borderId="1" xfId="0" applyNumberFormat="1" applyFont="1" applyFill="1" applyBorder="1"/>
    <xf numFmtId="167" fontId="4" fillId="5" borderId="1" xfId="0" applyNumberFormat="1" applyFont="1" applyFill="1" applyBorder="1"/>
    <xf numFmtId="168" fontId="4" fillId="0" borderId="1" xfId="0" applyNumberFormat="1" applyFont="1" applyBorder="1"/>
    <xf numFmtId="169" fontId="4" fillId="0" borderId="1" xfId="0" applyNumberFormat="1" applyFont="1" applyBorder="1"/>
    <xf numFmtId="165" fontId="4" fillId="4" borderId="1" xfId="0" applyNumberFormat="1" applyFont="1" applyFill="1" applyBorder="1"/>
    <xf numFmtId="0" fontId="6" fillId="5" borderId="1" xfId="0" applyFont="1" applyFill="1" applyBorder="1" applyAlignment="1">
      <alignment horizontal="left" indent="1"/>
    </xf>
    <xf numFmtId="171" fontId="4" fillId="0" borderId="1" xfId="0" applyNumberFormat="1" applyFont="1" applyBorder="1"/>
    <xf numFmtId="166" fontId="4" fillId="4" borderId="1" xfId="0" applyNumberFormat="1" applyFont="1" applyFill="1" applyBorder="1"/>
    <xf numFmtId="168" fontId="6" fillId="5" borderId="1" xfId="0" applyNumberFormat="1" applyFont="1" applyFill="1" applyBorder="1"/>
    <xf numFmtId="0" fontId="4" fillId="3" borderId="1" xfId="0" applyFont="1" applyFill="1" applyBorder="1"/>
    <xf numFmtId="0" fontId="6" fillId="0" borderId="1" xfId="0" applyFont="1" applyBorder="1" applyAlignment="1">
      <alignment horizontal="left"/>
    </xf>
    <xf numFmtId="0" fontId="6" fillId="3" borderId="0" xfId="0" applyFont="1" applyFill="1" applyAlignment="1">
      <alignment horizontal="left"/>
    </xf>
    <xf numFmtId="173" fontId="4" fillId="6" borderId="1" xfId="0" applyNumberFormat="1" applyFont="1" applyFill="1" applyBorder="1"/>
    <xf numFmtId="164" fontId="4" fillId="0" borderId="1" xfId="0" applyNumberFormat="1" applyFont="1" applyBorder="1"/>
    <xf numFmtId="164" fontId="4" fillId="7" borderId="1" xfId="0" applyNumberFormat="1" applyFont="1" applyFill="1" applyBorder="1" applyAlignment="1">
      <alignment horizontal="right"/>
    </xf>
    <xf numFmtId="0" fontId="6" fillId="5" borderId="1" xfId="0" applyFont="1" applyFill="1" applyBorder="1" applyAlignment="1">
      <alignment horizontal="left" wrapText="1"/>
    </xf>
    <xf numFmtId="164" fontId="6" fillId="5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169" fontId="6" fillId="5" borderId="1" xfId="0" applyNumberFormat="1" applyFont="1" applyFill="1" applyBorder="1" applyAlignment="1">
      <alignment horizontal="right"/>
    </xf>
    <xf numFmtId="0" fontId="4" fillId="4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167" fontId="4" fillId="0" borderId="1" xfId="0" applyNumberFormat="1" applyFont="1" applyBorder="1" applyAlignment="1">
      <alignment horizontal="right"/>
    </xf>
    <xf numFmtId="0" fontId="4" fillId="7" borderId="1" xfId="0" applyFont="1" applyFill="1" applyBorder="1" applyAlignment="1">
      <alignment horizontal="left" wrapText="1"/>
    </xf>
    <xf numFmtId="167" fontId="6" fillId="5" borderId="1" xfId="0" applyNumberFormat="1" applyFont="1" applyFill="1" applyBorder="1" applyAlignment="1">
      <alignment horizontal="right"/>
    </xf>
    <xf numFmtId="0" fontId="4" fillId="0" borderId="1" xfId="0" applyFont="1" applyBorder="1" applyAlignment="1">
      <alignment horizontal="left" wrapText="1"/>
    </xf>
    <xf numFmtId="168" fontId="4" fillId="0" borderId="1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164" fontId="4" fillId="0" borderId="1" xfId="0" applyNumberFormat="1" applyFont="1" applyBorder="1" applyAlignment="1">
      <alignment horizontal="right"/>
    </xf>
    <xf numFmtId="0" fontId="12" fillId="0" borderId="1" xfId="0" applyFont="1" applyBorder="1" applyAlignment="1">
      <alignment horizontal="left"/>
    </xf>
    <xf numFmtId="164" fontId="12" fillId="0" borderId="1" xfId="0" applyNumberFormat="1" applyFont="1" applyBorder="1" applyAlignment="1">
      <alignment horizontal="right"/>
    </xf>
    <xf numFmtId="0" fontId="13" fillId="0" borderId="0" xfId="0" applyFont="1"/>
    <xf numFmtId="0" fontId="14" fillId="9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4" fillId="11" borderId="0" xfId="0" applyFont="1" applyFill="1" applyAlignment="1">
      <alignment horizontal="left" vertical="center" indent="1"/>
    </xf>
    <xf numFmtId="0" fontId="14" fillId="12" borderId="1" xfId="0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right"/>
    </xf>
    <xf numFmtId="167" fontId="6" fillId="5" borderId="2" xfId="0" applyNumberFormat="1" applyFont="1" applyFill="1" applyBorder="1" applyAlignment="1">
      <alignment horizontal="right"/>
    </xf>
    <xf numFmtId="168" fontId="4" fillId="0" borderId="2" xfId="0" applyNumberFormat="1" applyFont="1" applyBorder="1" applyAlignment="1">
      <alignment horizontal="right"/>
    </xf>
    <xf numFmtId="164" fontId="4" fillId="4" borderId="2" xfId="0" applyNumberFormat="1" applyFont="1" applyFill="1" applyBorder="1" applyAlignment="1">
      <alignment horizontal="right"/>
    </xf>
    <xf numFmtId="164" fontId="6" fillId="5" borderId="2" xfId="0" applyNumberFormat="1" applyFont="1" applyFill="1" applyBorder="1" applyAlignment="1">
      <alignment horizontal="right"/>
    </xf>
    <xf numFmtId="167" fontId="4" fillId="0" borderId="2" xfId="0" applyNumberFormat="1" applyFont="1" applyBorder="1" applyAlignment="1">
      <alignment horizontal="right"/>
    </xf>
    <xf numFmtId="169" fontId="6" fillId="5" borderId="2" xfId="0" applyNumberFormat="1" applyFont="1" applyFill="1" applyBorder="1" applyAlignment="1">
      <alignment horizontal="right"/>
    </xf>
    <xf numFmtId="0" fontId="11" fillId="10" borderId="4" xfId="0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14" fillId="11" borderId="0" xfId="0" applyFont="1" applyFill="1" applyAlignment="1">
      <alignment horizontal="left" vertical="top" indent="1"/>
    </xf>
    <xf numFmtId="0" fontId="14" fillId="0" borderId="1" xfId="0" applyFont="1" applyBorder="1" applyAlignment="1">
      <alignment horizontal="left" wrapText="1"/>
    </xf>
    <xf numFmtId="164" fontId="14" fillId="0" borderId="1" xfId="0" applyNumberFormat="1" applyFont="1" applyBorder="1" applyAlignment="1">
      <alignment horizontal="right"/>
    </xf>
    <xf numFmtId="0" fontId="14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vertical="top" wrapText="1"/>
    </xf>
    <xf numFmtId="0" fontId="12" fillId="0" borderId="1" xfId="0" applyFont="1" applyBorder="1" applyAlignment="1">
      <alignment wrapText="1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17" fillId="10" borderId="1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168" fontId="4" fillId="0" borderId="2" xfId="0" applyNumberFormat="1" applyFont="1" applyBorder="1"/>
    <xf numFmtId="168" fontId="6" fillId="5" borderId="7" xfId="0" applyNumberFormat="1" applyFont="1" applyFill="1" applyBorder="1"/>
    <xf numFmtId="0" fontId="4" fillId="3" borderId="8" xfId="0" applyFont="1" applyFill="1" applyBorder="1"/>
    <xf numFmtId="0" fontId="0" fillId="0" borderId="6" xfId="0" applyBorder="1"/>
    <xf numFmtId="166" fontId="4" fillId="4" borderId="2" xfId="0" applyNumberFormat="1" applyFont="1" applyFill="1" applyBorder="1"/>
    <xf numFmtId="0" fontId="0" fillId="0" borderId="9" xfId="0" applyBorder="1"/>
    <xf numFmtId="0" fontId="17" fillId="10" borderId="6" xfId="0" applyFont="1" applyFill="1" applyBorder="1" applyAlignment="1">
      <alignment horizontal="center" vertical="center"/>
    </xf>
    <xf numFmtId="168" fontId="4" fillId="0" borderId="6" xfId="0" applyNumberFormat="1" applyFont="1" applyBorder="1"/>
    <xf numFmtId="164" fontId="4" fillId="4" borderId="2" xfId="0" applyNumberFormat="1" applyFont="1" applyFill="1" applyBorder="1"/>
    <xf numFmtId="164" fontId="6" fillId="5" borderId="2" xfId="0" applyNumberFormat="1" applyFont="1" applyFill="1" applyBorder="1"/>
    <xf numFmtId="171" fontId="4" fillId="0" borderId="2" xfId="0" applyNumberFormat="1" applyFont="1" applyBorder="1"/>
    <xf numFmtId="167" fontId="4" fillId="0" borderId="6" xfId="0" applyNumberFormat="1" applyFont="1" applyBorder="1"/>
    <xf numFmtId="167" fontId="6" fillId="5" borderId="6" xfId="0" applyNumberFormat="1" applyFont="1" applyFill="1" applyBorder="1"/>
    <xf numFmtId="0" fontId="0" fillId="5" borderId="6" xfId="0" applyFill="1" applyBorder="1"/>
    <xf numFmtId="0" fontId="4" fillId="0" borderId="1" xfId="0" applyFont="1" applyBorder="1"/>
    <xf numFmtId="0" fontId="6" fillId="5" borderId="1" xfId="0" applyFont="1" applyFill="1" applyBorder="1" applyAlignment="1">
      <alignment vertical="center"/>
    </xf>
    <xf numFmtId="0" fontId="6" fillId="5" borderId="1" xfId="0" applyFont="1" applyFill="1" applyBorder="1"/>
    <xf numFmtId="0" fontId="4" fillId="0" borderId="1" xfId="0" applyFont="1" applyBorder="1" applyAlignment="1">
      <alignment vertical="center"/>
    </xf>
    <xf numFmtId="0" fontId="5" fillId="0" borderId="6" xfId="0" applyFont="1" applyBorder="1" applyAlignment="1">
      <alignment wrapText="1"/>
    </xf>
    <xf numFmtId="0" fontId="17" fillId="10" borderId="4" xfId="0" applyFont="1" applyFill="1" applyBorder="1" applyAlignment="1">
      <alignment horizontal="center" vertical="center"/>
    </xf>
    <xf numFmtId="167" fontId="4" fillId="4" borderId="1" xfId="0" applyNumberFormat="1" applyFont="1" applyFill="1" applyBorder="1" applyAlignment="1">
      <alignment vertical="center"/>
    </xf>
    <xf numFmtId="170" fontId="4" fillId="0" borderId="2" xfId="0" applyNumberFormat="1" applyFont="1" applyBorder="1" applyAlignment="1">
      <alignment vertical="center"/>
    </xf>
    <xf numFmtId="165" fontId="4" fillId="4" borderId="1" xfId="0" applyNumberFormat="1" applyFont="1" applyFill="1" applyBorder="1" applyAlignment="1">
      <alignment vertical="center"/>
    </xf>
    <xf numFmtId="167" fontId="4" fillId="0" borderId="2" xfId="0" applyNumberFormat="1" applyFont="1" applyBorder="1" applyAlignment="1">
      <alignment vertical="center"/>
    </xf>
    <xf numFmtId="0" fontId="4" fillId="0" borderId="1" xfId="0" applyFont="1" applyBorder="1" applyAlignment="1">
      <alignment horizontal="left" vertical="center" indent="1"/>
    </xf>
    <xf numFmtId="0" fontId="17" fillId="10" borderId="1" xfId="0" applyFont="1" applyFill="1" applyBorder="1" applyAlignment="1">
      <alignment vertical="center"/>
    </xf>
    <xf numFmtId="169" fontId="4" fillId="0" borderId="2" xfId="0" applyNumberFormat="1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164" fontId="4" fillId="3" borderId="2" xfId="0" applyNumberFormat="1" applyFont="1" applyFill="1" applyBorder="1"/>
    <xf numFmtId="165" fontId="4" fillId="3" borderId="2" xfId="0" applyNumberFormat="1" applyFont="1" applyFill="1" applyBorder="1"/>
    <xf numFmtId="166" fontId="4" fillId="3" borderId="2" xfId="0" applyNumberFormat="1" applyFont="1" applyFill="1" applyBorder="1"/>
    <xf numFmtId="167" fontId="4" fillId="3" borderId="2" xfId="0" applyNumberFormat="1" applyFont="1" applyFill="1" applyBorder="1"/>
    <xf numFmtId="164" fontId="4" fillId="3" borderId="2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4" fillId="8" borderId="0" xfId="0" applyFont="1" applyFill="1" applyAlignment="1">
      <alignment horizontal="left" vertical="center" indent="1"/>
    </xf>
    <xf numFmtId="0" fontId="15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17" fillId="10" borderId="7" xfId="0" applyFont="1" applyFill="1" applyBorder="1" applyAlignment="1">
      <alignment horizontal="center" vertical="center"/>
    </xf>
    <xf numFmtId="0" fontId="17" fillId="10" borderId="10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wrapText="1"/>
    </xf>
    <xf numFmtId="0" fontId="5" fillId="0" borderId="6" xfId="0" applyFont="1" applyBorder="1" applyAlignment="1">
      <alignment horizontal="center" vertical="center" wrapText="1"/>
    </xf>
    <xf numFmtId="0" fontId="17" fillId="11" borderId="0" xfId="0" applyFont="1" applyFill="1" applyAlignment="1">
      <alignment horizontal="left" vertical="center" indent="1"/>
    </xf>
    <xf numFmtId="0" fontId="17" fillId="11" borderId="0" xfId="0" applyFont="1" applyFill="1" applyAlignment="1">
      <alignment vertical="center"/>
    </xf>
    <xf numFmtId="0" fontId="17" fillId="10" borderId="7" xfId="0" applyFont="1" applyFill="1" applyBorder="1" applyAlignment="1">
      <alignment vertical="center"/>
    </xf>
    <xf numFmtId="0" fontId="7" fillId="0" borderId="6" xfId="0" applyFont="1" applyBorder="1" applyAlignment="1">
      <alignment vertical="center" wrapText="1"/>
    </xf>
    <xf numFmtId="0" fontId="7" fillId="0" borderId="0" xfId="0" applyFont="1" applyAlignment="1">
      <alignment vertical="top" wrapText="1"/>
    </xf>
    <xf numFmtId="0" fontId="17" fillId="10" borderId="2" xfId="0" applyFont="1" applyFill="1" applyBorder="1" applyAlignment="1">
      <alignment horizontal="center" vertical="center"/>
    </xf>
    <xf numFmtId="167" fontId="4" fillId="0" borderId="2" xfId="0" applyNumberFormat="1" applyFont="1" applyBorder="1"/>
    <xf numFmtId="0" fontId="7" fillId="0" borderId="6" xfId="0" applyFont="1" applyBorder="1"/>
    <xf numFmtId="0" fontId="8" fillId="2" borderId="1" xfId="0" applyFont="1" applyFill="1" applyBorder="1" applyAlignment="1">
      <alignment vertical="center" wrapText="1"/>
    </xf>
    <xf numFmtId="167" fontId="6" fillId="5" borderId="2" xfId="0" applyNumberFormat="1" applyFont="1" applyFill="1" applyBorder="1"/>
    <xf numFmtId="0" fontId="0" fillId="5" borderId="6" xfId="0" applyFill="1" applyBorder="1"/>
    <xf numFmtId="172" fontId="6" fillId="5" borderId="2" xfId="0" applyNumberFormat="1" applyFont="1" applyFill="1" applyBorder="1"/>
    <xf numFmtId="0" fontId="0" fillId="0" borderId="6" xfId="0" applyBorder="1"/>
    <xf numFmtId="0" fontId="17" fillId="10" borderId="6" xfId="0" applyFont="1" applyFill="1" applyBorder="1" applyAlignment="1">
      <alignment horizontal="center" vertical="center"/>
    </xf>
    <xf numFmtId="172" fontId="4" fillId="0" borderId="2" xfId="0" applyNumberFormat="1" applyFont="1" applyBorder="1"/>
    <xf numFmtId="0" fontId="7" fillId="0" borderId="6" xfId="0" applyFont="1" applyBorder="1" applyAlignment="1">
      <alignment wrapText="1"/>
    </xf>
    <xf numFmtId="0" fontId="10" fillId="0" borderId="0" xfId="0" applyFont="1" applyAlignment="1">
      <alignment vertical="top" wrapText="1"/>
    </xf>
    <xf numFmtId="0" fontId="14" fillId="11" borderId="0" xfId="0" applyFont="1" applyFill="1" applyAlignment="1">
      <alignment horizontal="left" vertical="center" indent="1"/>
    </xf>
    <xf numFmtId="0" fontId="10" fillId="0" borderId="5" xfId="0" applyFont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6" borderId="3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FEF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DCDC"/>
      <rgbColor rgb="FFE0E0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404040"/>
      <rgbColor rgb="FF993300"/>
      <rgbColor rgb="FF993366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Net revenues </a:t>
            </a: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и 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Net income, $ </a:t>
            </a: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млн (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FY2023 → FY2024)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Графики!$C$5</c:f>
              <c:strCache>
                <c:ptCount val="1"/>
                <c:pt idx="0">
                  <c:v>Net revenues</c:v>
                </c:pt>
              </c:strCache>
            </c:strRef>
          </c:tx>
          <c:spPr>
            <a:ln w="24840">
              <a:solidFill>
                <a:srgbClr val="000000"/>
              </a:solidFill>
              <a:round/>
            </a:ln>
          </c:spPr>
          <c:marker>
            <c:symbol val="circle"/>
            <c:size val="5"/>
            <c:spPr>
              <a:solidFill>
                <a:srgbClr val="0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Графики!$B$6:$B$7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Графики!$C$6:$C$7</c:f>
              <c:numCache>
                <c:formatCode>#\ ##0;\(#\ ##0\);\-</c:formatCode>
                <c:ptCount val="2"/>
                <c:pt idx="0">
                  <c:v>4340</c:v>
                </c:pt>
                <c:pt idx="1">
                  <c:v>5185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027-4DC0-B4D5-90F5A60A639C}"/>
            </c:ext>
          </c:extLst>
        </c:ser>
        <c:ser>
          <c:idx val="1"/>
          <c:order val="1"/>
          <c:tx>
            <c:strRef>
              <c:f>Графики!$D$5</c:f>
              <c:strCache>
                <c:ptCount val="1"/>
                <c:pt idx="0">
                  <c:v>Net income</c:v>
                </c:pt>
              </c:strCache>
            </c:strRef>
          </c:tx>
          <c:spPr>
            <a:ln w="24840">
              <a:solidFill>
                <a:srgbClr val="BFBFBF"/>
              </a:solidFill>
              <a:round/>
            </a:ln>
          </c:spPr>
          <c:marker>
            <c:symbol val="circle"/>
            <c:size val="5"/>
            <c:spPr>
              <a:solidFill>
                <a:srgbClr val="BFBFB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Графики!$B$6:$B$7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Графики!$D$6:$D$7</c:f>
              <c:numCache>
                <c:formatCode>#\ ##0;\(#\ ##0\);\-</c:formatCode>
                <c:ptCount val="2"/>
                <c:pt idx="0">
                  <c:v>2812</c:v>
                </c:pt>
                <c:pt idx="1">
                  <c:v>3407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027-4DC0-B4D5-90F5A60A6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786817"/>
        <c:axId val="49445388"/>
      </c:lineChart>
      <c:catAx>
        <c:axId val="77868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ru-RU" sz="1000" b="1" strike="noStrike" spc="-1">
                    <a:solidFill>
                      <a:srgbClr val="000000"/>
                    </a:solidFill>
                    <a:latin typeface="Calibri"/>
                  </a:rPr>
                  <a:t>Год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445388"/>
        <c:crosses val="autoZero"/>
        <c:auto val="1"/>
        <c:lblAlgn val="ctr"/>
        <c:lblOffset val="100"/>
        <c:noMultiLvlLbl val="0"/>
      </c:catAx>
      <c:valAx>
        <c:axId val="494453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ru-RU" sz="1000" b="1" strike="noStrike" spc="-1">
                    <a:solidFill>
                      <a:srgbClr val="000000"/>
                    </a:solidFill>
                    <a:latin typeface="Calibri"/>
                  </a:rPr>
                  <a:t>$ млн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868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Структура 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Net revenues </a:t>
            </a: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по статьям, $ млн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Графики!$C$10</c:f>
              <c:strCache>
                <c:ptCount val="1"/>
                <c:pt idx="0">
                  <c:v>FY2024</c:v>
                </c:pt>
              </c:strCache>
            </c:strRef>
          </c:tx>
          <c:spPr>
            <a:solidFill>
              <a:srgbClr val="000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Графики!$B$11:$B$13</c:f>
              <c:strCache>
                <c:ptCount val="3"/>
                <c:pt idx="0">
                  <c:v>Commissions</c:v>
                </c:pt>
                <c:pt idx="1">
                  <c:v>Other fees and services</c:v>
                </c:pt>
                <c:pt idx="2">
                  <c:v>Total net interest income</c:v>
                </c:pt>
              </c:strCache>
            </c:strRef>
          </c:cat>
          <c:val>
            <c:numRef>
              <c:f>Графики!$C$11:$C$13</c:f>
              <c:numCache>
                <c:formatCode>#\ ##0;\(#\ ##0\);\-</c:formatCode>
                <c:ptCount val="3"/>
                <c:pt idx="0">
                  <c:v>1697</c:v>
                </c:pt>
                <c:pt idx="1">
                  <c:v>280</c:v>
                </c:pt>
                <c:pt idx="2">
                  <c:v>3148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A4-42E8-A5CD-3A4365DB878C}"/>
            </c:ext>
          </c:extLst>
        </c:ser>
        <c:ser>
          <c:idx val="1"/>
          <c:order val="1"/>
          <c:tx>
            <c:strRef>
              <c:f>Графики!$D$10</c:f>
              <c:strCache>
                <c:ptCount val="1"/>
                <c:pt idx="0">
                  <c:v>FY2023</c:v>
                </c:pt>
              </c:strCache>
            </c:strRef>
          </c:tx>
          <c:spPr>
            <a:solidFill>
              <a:srgbClr val="BFBFB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Графики!$B$11:$B$13</c:f>
              <c:strCache>
                <c:ptCount val="3"/>
                <c:pt idx="0">
                  <c:v>Commissions</c:v>
                </c:pt>
                <c:pt idx="1">
                  <c:v>Other fees and services</c:v>
                </c:pt>
                <c:pt idx="2">
                  <c:v>Total net interest income</c:v>
                </c:pt>
              </c:strCache>
            </c:strRef>
          </c:cat>
          <c:val>
            <c:numRef>
              <c:f>Графики!$D$11:$D$13</c:f>
              <c:numCache>
                <c:formatCode>#\ ##0;\(#\ ##0\);\-</c:formatCode>
                <c:ptCount val="3"/>
                <c:pt idx="0">
                  <c:v>1360</c:v>
                </c:pt>
                <c:pt idx="1">
                  <c:v>197</c:v>
                </c:pt>
                <c:pt idx="2">
                  <c:v>2794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A4-42E8-A5CD-3A4365DB8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413034"/>
        <c:axId val="6675356"/>
      </c:barChart>
      <c:catAx>
        <c:axId val="7841303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75356"/>
        <c:crosses val="autoZero"/>
        <c:auto val="1"/>
        <c:lblAlgn val="ctr"/>
        <c:lblOffset val="100"/>
        <c:noMultiLvlLbl val="0"/>
      </c:catAx>
      <c:valAx>
        <c:axId val="66753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ru-RU" sz="1000" b="1" strike="noStrike" spc="-1">
                    <a:solidFill>
                      <a:srgbClr val="000000"/>
                    </a:solidFill>
                    <a:latin typeface="Calibri"/>
                  </a:rPr>
                  <a:t>$ млн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4130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Рост клиентской базы, индекс 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FY2023=100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Графики!$C$19</c:f>
              <c:strCache>
                <c:ptCount val="1"/>
                <c:pt idx="0">
                  <c:v>FY2023</c:v>
                </c:pt>
              </c:strCache>
            </c:strRef>
          </c:tx>
          <c:spPr>
            <a:solidFill>
              <a:srgbClr val="BFBFB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Графики!$B$20:$B$22</c:f>
              <c:strCache>
                <c:ptCount val="3"/>
                <c:pt idx="0">
                  <c:v>Accounts</c:v>
                </c:pt>
                <c:pt idx="1">
                  <c:v>DARTs</c:v>
                </c:pt>
                <c:pt idx="2">
                  <c:v>Margin loans</c:v>
                </c:pt>
              </c:strCache>
            </c:strRef>
          </c:cat>
          <c:val>
            <c:numRef>
              <c:f>Графики!$C$20:$C$22</c:f>
              <c:numCache>
                <c:formatCode>#\ ##0;\(#\ ##0\);\-</c:formatCode>
                <c:ptCount val="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77-44FF-B90D-4698F716B7CD}"/>
            </c:ext>
          </c:extLst>
        </c:ser>
        <c:ser>
          <c:idx val="1"/>
          <c:order val="1"/>
          <c:tx>
            <c:strRef>
              <c:f>Графики!$D$19</c:f>
              <c:strCache>
                <c:ptCount val="1"/>
                <c:pt idx="0">
                  <c:v>FY2024</c:v>
                </c:pt>
              </c:strCache>
            </c:strRef>
          </c:tx>
          <c:spPr>
            <a:solidFill>
              <a:srgbClr val="000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Графики!$B$20:$B$22</c:f>
              <c:strCache>
                <c:ptCount val="3"/>
                <c:pt idx="0">
                  <c:v>Accounts</c:v>
                </c:pt>
                <c:pt idx="1">
                  <c:v>DARTs</c:v>
                </c:pt>
                <c:pt idx="2">
                  <c:v>Margin loans</c:v>
                </c:pt>
              </c:strCache>
            </c:strRef>
          </c:cat>
          <c:val>
            <c:numRef>
              <c:f>Графики!$D$20:$D$22</c:f>
              <c:numCache>
                <c:formatCode>#\ ##0;\(#\ ##0\);\-</c:formatCode>
                <c:ptCount val="3"/>
                <c:pt idx="0">
                  <c:v>130.24980483996876</c:v>
                </c:pt>
                <c:pt idx="1">
                  <c:v>161.22026887280248</c:v>
                </c:pt>
                <c:pt idx="2">
                  <c:v>144.92099322799098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77-44FF-B90D-4698F716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10305"/>
        <c:axId val="79004524"/>
      </c:barChart>
      <c:catAx>
        <c:axId val="1881030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004524"/>
        <c:crosses val="autoZero"/>
        <c:auto val="1"/>
        <c:lblAlgn val="ctr"/>
        <c:lblOffset val="100"/>
        <c:noMultiLvlLbl val="0"/>
      </c:catAx>
      <c:valAx>
        <c:axId val="790045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ru-RU" sz="1000" b="1" strike="noStrike" spc="-1">
                    <a:solidFill>
                      <a:srgbClr val="000000"/>
                    </a:solidFill>
                    <a:latin typeface="Calibri"/>
                  </a:rPr>
                  <a:t>Индекс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8103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Net income vs Operating Cash Flow (Quality of Earnings), $ </a:t>
            </a: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млн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Графики!$C$25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BFBFB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Графики!$B$26:$B$28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Графики!$C$26:$C$28</c:f>
              <c:numCache>
                <c:formatCode>#\ ##0;\(#\ ##0\);\-</c:formatCode>
                <c:ptCount val="3"/>
                <c:pt idx="0">
                  <c:v>1842</c:v>
                </c:pt>
                <c:pt idx="1">
                  <c:v>2812</c:v>
                </c:pt>
                <c:pt idx="2">
                  <c:v>3407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05-481F-AEE8-17EB7696AF46}"/>
            </c:ext>
          </c:extLst>
        </c:ser>
        <c:ser>
          <c:idx val="1"/>
          <c:order val="1"/>
          <c:tx>
            <c:strRef>
              <c:f>Графики!$D$25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00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Графики!$B$26:$B$28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Графики!$D$26:$D$28</c:f>
              <c:numCache>
                <c:formatCode>#\ ##0;\(#\ ##0\);\-</c:formatCode>
                <c:ptCount val="3"/>
                <c:pt idx="0">
                  <c:v>3968</c:v>
                </c:pt>
                <c:pt idx="1">
                  <c:v>4544</c:v>
                </c:pt>
                <c:pt idx="2">
                  <c:v>8724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05-481F-AEE8-17EB7696A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966384"/>
        <c:axId val="56816900"/>
      </c:barChart>
      <c:catAx>
        <c:axId val="389663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816900"/>
        <c:crosses val="autoZero"/>
        <c:auto val="1"/>
        <c:lblAlgn val="ctr"/>
        <c:lblOffset val="100"/>
        <c:noMultiLvlLbl val="0"/>
      </c:catAx>
      <c:valAx>
        <c:axId val="568169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ru-RU" sz="1000" b="1" strike="noStrike" spc="-1">
                    <a:solidFill>
                      <a:srgbClr val="000000"/>
                    </a:solidFill>
                    <a:latin typeface="Calibri"/>
                  </a:rPr>
                  <a:t>$ млн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9663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130680</xdr:rowOff>
    </xdr:from>
    <xdr:to>
      <xdr:col>10</xdr:col>
      <xdr:colOff>291960</xdr:colOff>
      <xdr:row>16</xdr:row>
      <xdr:rowOff>86040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504825</xdr:colOff>
      <xdr:row>2</xdr:row>
      <xdr:rowOff>130680</xdr:rowOff>
    </xdr:from>
    <xdr:to>
      <xdr:col>19</xdr:col>
      <xdr:colOff>63360</xdr:colOff>
      <xdr:row>16</xdr:row>
      <xdr:rowOff>86010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17</xdr:row>
      <xdr:rowOff>6855</xdr:rowOff>
    </xdr:from>
    <xdr:to>
      <xdr:col>10</xdr:col>
      <xdr:colOff>291960</xdr:colOff>
      <xdr:row>32</xdr:row>
      <xdr:rowOff>28815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514350</xdr:colOff>
      <xdr:row>17</xdr:row>
      <xdr:rowOff>6855</xdr:rowOff>
    </xdr:from>
    <xdr:to>
      <xdr:col>19</xdr:col>
      <xdr:colOff>72885</xdr:colOff>
      <xdr:row>32</xdr:row>
      <xdr:rowOff>28815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B2:C12"/>
  <sheetViews>
    <sheetView showGridLines="0" tabSelected="1" zoomScaleNormal="100" workbookViewId="0">
      <selection activeCell="C15" sqref="C15"/>
    </sheetView>
  </sheetViews>
  <sheetFormatPr defaultColWidth="8.7109375" defaultRowHeight="15" x14ac:dyDescent="0.25"/>
  <cols>
    <col min="1" max="1" width="3" customWidth="1"/>
    <col min="2" max="2" width="28" customWidth="1"/>
    <col min="3" max="3" width="205.7109375" customWidth="1"/>
  </cols>
  <sheetData>
    <row r="2" spans="2:3" ht="20.25" x14ac:dyDescent="0.3">
      <c r="B2" s="108" t="s">
        <v>0</v>
      </c>
      <c r="C2" s="108"/>
    </row>
    <row r="3" spans="2:3" x14ac:dyDescent="0.25">
      <c r="B3" s="109" t="s">
        <v>1</v>
      </c>
      <c r="C3" s="109"/>
    </row>
    <row r="4" spans="2:3" x14ac:dyDescent="0.25">
      <c r="B4" s="110" t="s">
        <v>2</v>
      </c>
      <c r="C4" s="110"/>
    </row>
    <row r="6" spans="2:3" ht="33.75" customHeight="1" x14ac:dyDescent="0.25">
      <c r="B6" s="105" t="s">
        <v>3</v>
      </c>
      <c r="C6" s="104" t="s">
        <v>4</v>
      </c>
    </row>
    <row r="7" spans="2:3" ht="81.75" customHeight="1" x14ac:dyDescent="0.25">
      <c r="B7" s="105" t="s">
        <v>5</v>
      </c>
      <c r="C7" s="104" t="s">
        <v>6</v>
      </c>
    </row>
    <row r="8" spans="2:3" ht="55.5" customHeight="1" x14ac:dyDescent="0.25">
      <c r="B8" s="105" t="s">
        <v>7</v>
      </c>
      <c r="C8" s="104" t="s">
        <v>8</v>
      </c>
    </row>
    <row r="9" spans="2:3" ht="33.75" customHeight="1" x14ac:dyDescent="0.25">
      <c r="B9" s="105" t="s">
        <v>9</v>
      </c>
      <c r="C9" s="104" t="s">
        <v>10</v>
      </c>
    </row>
    <row r="10" spans="2:3" ht="57.75" customHeight="1" x14ac:dyDescent="0.25">
      <c r="B10" s="105" t="s">
        <v>11</v>
      </c>
      <c r="C10" s="104" t="s">
        <v>12</v>
      </c>
    </row>
    <row r="12" spans="2:3" x14ac:dyDescent="0.25">
      <c r="B12" s="110"/>
      <c r="C12" s="110"/>
    </row>
  </sheetData>
  <mergeCells count="4">
    <mergeCell ref="B2:C2"/>
    <mergeCell ref="B3:C3"/>
    <mergeCell ref="B4:C4"/>
    <mergeCell ref="B12:C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8080"/>
  </sheetPr>
  <dimension ref="B1:E57"/>
  <sheetViews>
    <sheetView showGridLines="0" zoomScaleNormal="100" workbookViewId="0">
      <selection activeCell="I53" sqref="I53"/>
    </sheetView>
  </sheetViews>
  <sheetFormatPr defaultColWidth="8.7109375" defaultRowHeight="15" x14ac:dyDescent="0.25"/>
  <cols>
    <col min="1" max="1" width="3" customWidth="1"/>
    <col min="2" max="2" width="45.7109375" bestFit="1" customWidth="1"/>
    <col min="3" max="4" width="16" customWidth="1"/>
    <col min="5" max="5" width="50" customWidth="1"/>
  </cols>
  <sheetData>
    <row r="1" spans="2:5" ht="21.75" customHeight="1" x14ac:dyDescent="0.25">
      <c r="B1" s="115" t="s">
        <v>13</v>
      </c>
      <c r="C1" s="115"/>
      <c r="D1" s="115"/>
      <c r="E1" s="115"/>
    </row>
    <row r="2" spans="2:5" x14ac:dyDescent="0.25">
      <c r="B2" s="69" t="s">
        <v>14</v>
      </c>
      <c r="C2" s="69" t="s">
        <v>15</v>
      </c>
      <c r="D2" s="69" t="s">
        <v>16</v>
      </c>
      <c r="E2" s="90" t="s">
        <v>17</v>
      </c>
    </row>
    <row r="3" spans="2:5" x14ac:dyDescent="0.25">
      <c r="B3" s="3" t="s">
        <v>18</v>
      </c>
      <c r="C3" s="4">
        <v>1697</v>
      </c>
      <c r="D3" s="99">
        <v>1360</v>
      </c>
      <c r="E3" s="114" t="s">
        <v>19</v>
      </c>
    </row>
    <row r="4" spans="2:5" x14ac:dyDescent="0.25">
      <c r="B4" s="3" t="s">
        <v>20</v>
      </c>
      <c r="C4" s="4">
        <v>280</v>
      </c>
      <c r="D4" s="99">
        <v>197</v>
      </c>
      <c r="E4" s="114"/>
    </row>
    <row r="5" spans="2:5" x14ac:dyDescent="0.25">
      <c r="B5" s="3" t="s">
        <v>21</v>
      </c>
      <c r="C5" s="4">
        <v>60</v>
      </c>
      <c r="D5" s="100">
        <v>-11</v>
      </c>
      <c r="E5" s="114"/>
    </row>
    <row r="6" spans="2:5" x14ac:dyDescent="0.25">
      <c r="B6" s="3" t="s">
        <v>22</v>
      </c>
      <c r="C6" s="4">
        <v>2037</v>
      </c>
      <c r="D6" s="99">
        <v>1546</v>
      </c>
      <c r="E6" s="114"/>
    </row>
    <row r="7" spans="2:5" x14ac:dyDescent="0.25">
      <c r="B7" s="3" t="s">
        <v>23</v>
      </c>
      <c r="C7" s="4">
        <v>7339</v>
      </c>
      <c r="D7" s="99">
        <v>6230</v>
      </c>
      <c r="E7" s="114"/>
    </row>
    <row r="8" spans="2:5" x14ac:dyDescent="0.25">
      <c r="B8" s="3" t="s">
        <v>24</v>
      </c>
      <c r="C8" s="4">
        <v>-4191</v>
      </c>
      <c r="D8" s="99">
        <v>-3436</v>
      </c>
      <c r="E8" s="114"/>
    </row>
    <row r="9" spans="2:5" x14ac:dyDescent="0.25">
      <c r="B9" s="3" t="s">
        <v>25</v>
      </c>
      <c r="C9" s="4">
        <v>3148</v>
      </c>
      <c r="D9" s="99">
        <v>2794</v>
      </c>
      <c r="E9" s="114"/>
    </row>
    <row r="10" spans="2:5" x14ac:dyDescent="0.25">
      <c r="B10" s="3" t="s">
        <v>26</v>
      </c>
      <c r="C10" s="4">
        <v>5185</v>
      </c>
      <c r="D10" s="99">
        <v>4340</v>
      </c>
      <c r="E10" s="114"/>
    </row>
    <row r="11" spans="2:5" x14ac:dyDescent="0.25">
      <c r="B11" s="3" t="s">
        <v>27</v>
      </c>
      <c r="C11" s="4">
        <v>447</v>
      </c>
      <c r="D11" s="99">
        <v>386</v>
      </c>
      <c r="E11" s="114"/>
    </row>
    <row r="12" spans="2:5" x14ac:dyDescent="0.25">
      <c r="B12" s="3" t="s">
        <v>28</v>
      </c>
      <c r="C12" s="4">
        <v>574</v>
      </c>
      <c r="D12" s="99">
        <v>527</v>
      </c>
      <c r="E12" s="114"/>
    </row>
    <row r="13" spans="2:5" x14ac:dyDescent="0.25">
      <c r="B13" s="3" t="s">
        <v>29</v>
      </c>
      <c r="C13" s="4">
        <v>101</v>
      </c>
      <c r="D13" s="99">
        <v>99</v>
      </c>
      <c r="E13" s="114"/>
    </row>
    <row r="14" spans="2:5" x14ac:dyDescent="0.25">
      <c r="B14" s="3" t="s">
        <v>30</v>
      </c>
      <c r="C14" s="4">
        <v>39</v>
      </c>
      <c r="D14" s="99">
        <v>41</v>
      </c>
      <c r="E14" s="114"/>
    </row>
    <row r="15" spans="2:5" x14ac:dyDescent="0.25">
      <c r="B15" s="3" t="s">
        <v>31</v>
      </c>
      <c r="C15" s="4">
        <v>314</v>
      </c>
      <c r="D15" s="99">
        <v>211</v>
      </c>
      <c r="E15" s="114"/>
    </row>
    <row r="16" spans="2:5" x14ac:dyDescent="0.25">
      <c r="B16" s="3" t="s">
        <v>32</v>
      </c>
      <c r="C16" s="5">
        <v>15</v>
      </c>
      <c r="D16" s="100">
        <v>7</v>
      </c>
      <c r="E16" s="114"/>
    </row>
    <row r="17" spans="2:5" x14ac:dyDescent="0.25">
      <c r="B17" s="3" t="s">
        <v>33</v>
      </c>
      <c r="C17" s="4">
        <v>1490</v>
      </c>
      <c r="D17" s="99">
        <v>1271</v>
      </c>
      <c r="E17" s="114"/>
    </row>
    <row r="18" spans="2:5" x14ac:dyDescent="0.25">
      <c r="B18" s="3" t="s">
        <v>34</v>
      </c>
      <c r="C18" s="4">
        <v>3695</v>
      </c>
      <c r="D18" s="99">
        <v>3069</v>
      </c>
      <c r="E18" s="114"/>
    </row>
    <row r="19" spans="2:5" x14ac:dyDescent="0.25">
      <c r="B19" s="3" t="s">
        <v>35</v>
      </c>
      <c r="C19" s="4">
        <v>288</v>
      </c>
      <c r="D19" s="99">
        <v>257</v>
      </c>
      <c r="E19" s="114"/>
    </row>
    <row r="20" spans="2:5" x14ac:dyDescent="0.25">
      <c r="B20" s="3" t="s">
        <v>36</v>
      </c>
      <c r="C20" s="4">
        <v>3407</v>
      </c>
      <c r="D20" s="99">
        <v>2812</v>
      </c>
      <c r="E20" s="114"/>
    </row>
    <row r="21" spans="2:5" x14ac:dyDescent="0.25">
      <c r="B21" s="3" t="s">
        <v>37</v>
      </c>
      <c r="C21" s="4">
        <v>2652</v>
      </c>
      <c r="D21" s="99">
        <v>2212</v>
      </c>
      <c r="E21" s="114"/>
    </row>
    <row r="22" spans="2:5" x14ac:dyDescent="0.25">
      <c r="B22" s="3" t="s">
        <v>38</v>
      </c>
      <c r="C22" s="4">
        <v>755</v>
      </c>
      <c r="D22" s="99">
        <v>600</v>
      </c>
      <c r="E22" s="114"/>
    </row>
    <row r="23" spans="2:5" x14ac:dyDescent="0.25">
      <c r="B23" s="3" t="s">
        <v>39</v>
      </c>
      <c r="C23" s="5">
        <v>6.99</v>
      </c>
      <c r="D23" s="100">
        <v>5.72</v>
      </c>
      <c r="E23" s="114"/>
    </row>
    <row r="24" spans="2:5" x14ac:dyDescent="0.25">
      <c r="B24" s="3" t="s">
        <v>40</v>
      </c>
      <c r="C24" s="5">
        <v>6.93</v>
      </c>
      <c r="D24" s="100">
        <v>5.67</v>
      </c>
      <c r="E24" s="114"/>
    </row>
    <row r="25" spans="2:5" x14ac:dyDescent="0.25">
      <c r="B25" s="3" t="s">
        <v>41</v>
      </c>
      <c r="C25" s="4">
        <v>109</v>
      </c>
      <c r="D25" s="99">
        <v>105.8</v>
      </c>
      <c r="E25" s="114"/>
    </row>
    <row r="27" spans="2:5" ht="21.75" customHeight="1" x14ac:dyDescent="0.25">
      <c r="B27" s="115" t="s">
        <v>42</v>
      </c>
      <c r="C27" s="115"/>
      <c r="D27" s="115"/>
      <c r="E27" s="115"/>
    </row>
    <row r="28" spans="2:5" x14ac:dyDescent="0.25">
      <c r="B28" s="69" t="s">
        <v>14</v>
      </c>
      <c r="C28" s="69" t="s">
        <v>43</v>
      </c>
      <c r="D28" s="69" t="s">
        <v>44</v>
      </c>
      <c r="E28" s="90" t="s">
        <v>17</v>
      </c>
    </row>
    <row r="29" spans="2:5" x14ac:dyDescent="0.25">
      <c r="B29" s="3" t="s">
        <v>45</v>
      </c>
      <c r="C29" s="4">
        <v>150518</v>
      </c>
      <c r="D29" s="99">
        <v>128423</v>
      </c>
      <c r="E29" s="114" t="s">
        <v>46</v>
      </c>
    </row>
    <row r="30" spans="2:5" x14ac:dyDescent="0.25">
      <c r="B30" s="3" t="s">
        <v>47</v>
      </c>
      <c r="C30" s="4">
        <v>64432</v>
      </c>
      <c r="D30" s="99">
        <v>44472</v>
      </c>
      <c r="E30" s="114"/>
    </row>
    <row r="31" spans="2:5" x14ac:dyDescent="0.25">
      <c r="B31" s="3" t="s">
        <v>48</v>
      </c>
      <c r="C31" s="4">
        <v>115343</v>
      </c>
      <c r="D31" s="99">
        <v>101012</v>
      </c>
      <c r="E31" s="114"/>
    </row>
    <row r="32" spans="2:5" x14ac:dyDescent="0.25">
      <c r="B32" s="3" t="s">
        <v>49</v>
      </c>
      <c r="C32" s="4">
        <v>133921</v>
      </c>
      <c r="D32" s="99">
        <v>114356</v>
      </c>
      <c r="E32" s="114"/>
    </row>
    <row r="33" spans="2:5" x14ac:dyDescent="0.25">
      <c r="B33" s="3" t="s">
        <v>50</v>
      </c>
      <c r="C33" s="4">
        <v>4280</v>
      </c>
      <c r="D33" s="99">
        <v>3584</v>
      </c>
      <c r="E33" s="114"/>
    </row>
    <row r="34" spans="2:5" x14ac:dyDescent="0.25">
      <c r="B34" s="3" t="s">
        <v>51</v>
      </c>
      <c r="C34" s="4">
        <v>12317</v>
      </c>
      <c r="D34" s="99">
        <v>10483</v>
      </c>
      <c r="E34" s="114"/>
    </row>
    <row r="35" spans="2:5" x14ac:dyDescent="0.25">
      <c r="B35" s="3" t="s">
        <v>52</v>
      </c>
      <c r="C35" s="4">
        <v>16597</v>
      </c>
      <c r="D35" s="99">
        <v>14067</v>
      </c>
      <c r="E35" s="114"/>
    </row>
    <row r="37" spans="2:5" ht="21.75" customHeight="1" x14ac:dyDescent="0.25">
      <c r="B37" s="115" t="s">
        <v>53</v>
      </c>
      <c r="C37" s="115"/>
      <c r="D37" s="115"/>
      <c r="E37" s="115"/>
    </row>
    <row r="38" spans="2:5" x14ac:dyDescent="0.25">
      <c r="B38" s="69" t="s">
        <v>14</v>
      </c>
      <c r="C38" s="69" t="s">
        <v>54</v>
      </c>
      <c r="D38" s="69" t="s">
        <v>55</v>
      </c>
      <c r="E38" s="90" t="s">
        <v>17</v>
      </c>
    </row>
    <row r="39" spans="2:5" x14ac:dyDescent="0.25">
      <c r="B39" s="3" t="s">
        <v>56</v>
      </c>
      <c r="C39" s="6">
        <v>0.25800000000000001</v>
      </c>
      <c r="D39" s="101">
        <v>0.254</v>
      </c>
      <c r="E39" s="114" t="s">
        <v>57</v>
      </c>
    </row>
    <row r="40" spans="2:5" x14ac:dyDescent="0.25">
      <c r="B40" s="3" t="s">
        <v>58</v>
      </c>
      <c r="C40" s="6">
        <v>0.74199999999999999</v>
      </c>
      <c r="D40" s="101">
        <v>0.746</v>
      </c>
      <c r="E40" s="114"/>
    </row>
    <row r="42" spans="2:5" ht="21.75" customHeight="1" x14ac:dyDescent="0.25">
      <c r="B42" s="115" t="s">
        <v>59</v>
      </c>
      <c r="C42" s="115"/>
      <c r="D42" s="115"/>
      <c r="E42" s="115"/>
    </row>
    <row r="43" spans="2:5" x14ac:dyDescent="0.25">
      <c r="B43" s="69" t="s">
        <v>14</v>
      </c>
      <c r="C43" s="69" t="s">
        <v>15</v>
      </c>
      <c r="D43" s="69" t="s">
        <v>16</v>
      </c>
      <c r="E43" s="90" t="s">
        <v>17</v>
      </c>
    </row>
    <row r="44" spans="2:5" x14ac:dyDescent="0.25">
      <c r="B44" s="3" t="s">
        <v>60</v>
      </c>
      <c r="C44" s="4">
        <v>3337</v>
      </c>
      <c r="D44" s="99">
        <v>2562</v>
      </c>
      <c r="E44" s="114" t="s">
        <v>61</v>
      </c>
    </row>
    <row r="45" spans="2:5" x14ac:dyDescent="0.25">
      <c r="B45" s="3" t="s">
        <v>62</v>
      </c>
      <c r="C45" s="4">
        <v>568.20000000000005</v>
      </c>
      <c r="D45" s="99">
        <v>426</v>
      </c>
      <c r="E45" s="114"/>
    </row>
    <row r="46" spans="2:5" x14ac:dyDescent="0.25">
      <c r="B46" s="3" t="s">
        <v>63</v>
      </c>
      <c r="C46" s="4">
        <v>3118</v>
      </c>
      <c r="D46" s="99">
        <v>1934</v>
      </c>
      <c r="E46" s="114"/>
    </row>
    <row r="47" spans="2:5" x14ac:dyDescent="0.25">
      <c r="B47" s="3" t="s">
        <v>64</v>
      </c>
      <c r="C47" s="5">
        <v>2.72</v>
      </c>
      <c r="D47" s="100">
        <v>3.19</v>
      </c>
      <c r="E47" s="114"/>
    </row>
    <row r="48" spans="2:5" x14ac:dyDescent="0.25">
      <c r="B48" s="3" t="s">
        <v>65</v>
      </c>
      <c r="C48" s="4">
        <v>64.2</v>
      </c>
      <c r="D48" s="99">
        <v>44.3</v>
      </c>
      <c r="E48" s="114"/>
    </row>
    <row r="49" spans="2:5" x14ac:dyDescent="0.25">
      <c r="B49" s="3" t="s">
        <v>66</v>
      </c>
      <c r="C49" s="4">
        <v>119.7</v>
      </c>
      <c r="D49" s="99">
        <v>104</v>
      </c>
      <c r="E49" s="114"/>
    </row>
    <row r="50" spans="2:5" x14ac:dyDescent="0.25">
      <c r="B50" s="3" t="s">
        <v>67</v>
      </c>
      <c r="C50" s="4">
        <v>1344.855</v>
      </c>
      <c r="D50" s="99">
        <v>1020.736</v>
      </c>
      <c r="E50" s="114"/>
    </row>
    <row r="51" spans="2:5" x14ac:dyDescent="0.25">
      <c r="B51" s="3" t="s">
        <v>68</v>
      </c>
      <c r="C51" s="4">
        <v>218.327</v>
      </c>
      <c r="D51" s="99">
        <v>209.03399999999999</v>
      </c>
      <c r="E51" s="114"/>
    </row>
    <row r="52" spans="2:5" x14ac:dyDescent="0.25">
      <c r="B52" s="3" t="s">
        <v>69</v>
      </c>
      <c r="C52" s="4">
        <v>307489.71100000001</v>
      </c>
      <c r="D52" s="99">
        <v>252742.84700000001</v>
      </c>
      <c r="E52" s="114"/>
    </row>
    <row r="53" spans="2:5" x14ac:dyDescent="0.25">
      <c r="B53" s="3" t="s">
        <v>70</v>
      </c>
      <c r="C53" s="7">
        <v>2.35E-2</v>
      </c>
      <c r="D53" s="102">
        <v>2.3599999999999999E-2</v>
      </c>
      <c r="E53" s="114"/>
    </row>
    <row r="55" spans="2:5" ht="21.75" customHeight="1" x14ac:dyDescent="0.25">
      <c r="B55" s="115" t="s">
        <v>71</v>
      </c>
      <c r="C55" s="115"/>
      <c r="D55" s="115"/>
      <c r="E55" s="115"/>
    </row>
    <row r="56" spans="2:5" x14ac:dyDescent="0.25">
      <c r="B56" s="69" t="s">
        <v>14</v>
      </c>
      <c r="C56" s="69" t="s">
        <v>72</v>
      </c>
      <c r="D56" s="111" t="s">
        <v>17</v>
      </c>
      <c r="E56" s="112"/>
    </row>
    <row r="57" spans="2:5" ht="34.5" customHeight="1" x14ac:dyDescent="0.25">
      <c r="B57" s="98" t="s">
        <v>73</v>
      </c>
      <c r="C57" s="103">
        <v>-335</v>
      </c>
      <c r="D57" s="113" t="s">
        <v>74</v>
      </c>
      <c r="E57" s="113"/>
    </row>
  </sheetData>
  <mergeCells count="11">
    <mergeCell ref="B1:E1"/>
    <mergeCell ref="B27:E27"/>
    <mergeCell ref="B37:E37"/>
    <mergeCell ref="B42:E42"/>
    <mergeCell ref="B55:E55"/>
    <mergeCell ref="E3:E25"/>
    <mergeCell ref="D56:E56"/>
    <mergeCell ref="D57:E57"/>
    <mergeCell ref="E44:E53"/>
    <mergeCell ref="E39:E40"/>
    <mergeCell ref="E29:E3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04040"/>
  </sheetPr>
  <dimension ref="B1:G33"/>
  <sheetViews>
    <sheetView showGridLines="0" topLeftCell="A15" zoomScaleNormal="100" workbookViewId="0">
      <selection activeCell="O18" sqref="O18"/>
    </sheetView>
  </sheetViews>
  <sheetFormatPr defaultColWidth="8.7109375" defaultRowHeight="15" x14ac:dyDescent="0.25"/>
  <cols>
    <col min="1" max="1" width="3" customWidth="1"/>
    <col min="2" max="2" width="48.42578125" bestFit="1" customWidth="1"/>
    <col min="3" max="4" width="14" customWidth="1"/>
    <col min="5" max="5" width="12" customWidth="1"/>
    <col min="6" max="6" width="17.7109375" customWidth="1"/>
    <col min="7" max="7" width="48.5703125" customWidth="1"/>
  </cols>
  <sheetData>
    <row r="1" spans="2:7" ht="21.75" customHeight="1" x14ac:dyDescent="0.25">
      <c r="B1" s="116" t="s">
        <v>75</v>
      </c>
      <c r="C1" s="116"/>
      <c r="D1" s="116"/>
      <c r="E1" s="116"/>
      <c r="F1" s="116"/>
      <c r="G1" s="116"/>
    </row>
    <row r="2" spans="2:7" x14ac:dyDescent="0.25">
      <c r="B2" s="96" t="s">
        <v>14</v>
      </c>
      <c r="C2" s="96" t="s">
        <v>15</v>
      </c>
      <c r="D2" s="96" t="s">
        <v>16</v>
      </c>
      <c r="E2" s="96" t="s">
        <v>76</v>
      </c>
      <c r="F2" s="96" t="s">
        <v>77</v>
      </c>
      <c r="G2" s="96" t="s">
        <v>78</v>
      </c>
    </row>
    <row r="3" spans="2:7" x14ac:dyDescent="0.25">
      <c r="B3" s="8" t="s">
        <v>18</v>
      </c>
      <c r="C3" s="9">
        <f>'Входные данные'!C3</f>
        <v>1697</v>
      </c>
      <c r="D3" s="9">
        <f>'Входные данные'!D3</f>
        <v>1360</v>
      </c>
      <c r="E3" s="10">
        <f t="shared" ref="E3:E22" si="0">IFERROR((C3-D3)/ABS(D3),"н/д")</f>
        <v>0.24779411764705883</v>
      </c>
      <c r="F3" s="10">
        <f t="shared" ref="F3:F22" si="1">C3/$C$10</f>
        <v>0.32729026036644165</v>
      </c>
      <c r="G3" s="10">
        <f t="shared" ref="G3:G22" si="2">D3/$D$10</f>
        <v>0.31336405529953915</v>
      </c>
    </row>
    <row r="4" spans="2:7" x14ac:dyDescent="0.25">
      <c r="B4" s="8" t="s">
        <v>20</v>
      </c>
      <c r="C4" s="9">
        <f>'Входные данные'!C4</f>
        <v>280</v>
      </c>
      <c r="D4" s="9">
        <f>'Входные данные'!D4</f>
        <v>197</v>
      </c>
      <c r="E4" s="10">
        <f t="shared" si="0"/>
        <v>0.42131979695431471</v>
      </c>
      <c r="F4" s="10">
        <f t="shared" si="1"/>
        <v>5.4001928640308582E-2</v>
      </c>
      <c r="G4" s="10">
        <f t="shared" si="2"/>
        <v>4.5391705069124426E-2</v>
      </c>
    </row>
    <row r="5" spans="2:7" x14ac:dyDescent="0.25">
      <c r="B5" s="8" t="s">
        <v>21</v>
      </c>
      <c r="C5" s="9">
        <f>'Входные данные'!C5</f>
        <v>60</v>
      </c>
      <c r="D5" s="9">
        <f>'Входные данные'!D5</f>
        <v>-11</v>
      </c>
      <c r="E5" s="10">
        <f t="shared" si="0"/>
        <v>6.4545454545454541</v>
      </c>
      <c r="F5" s="10">
        <f t="shared" si="1"/>
        <v>1.1571841851494697E-2</v>
      </c>
      <c r="G5" s="10">
        <f t="shared" si="2"/>
        <v>-2.534562211981567E-3</v>
      </c>
    </row>
    <row r="6" spans="2:7" x14ac:dyDescent="0.25">
      <c r="B6" s="11" t="s">
        <v>22</v>
      </c>
      <c r="C6" s="12">
        <f>'Входные данные'!C6</f>
        <v>2037</v>
      </c>
      <c r="D6" s="12">
        <f>'Входные данные'!D6</f>
        <v>1546</v>
      </c>
      <c r="E6" s="13">
        <f t="shared" si="0"/>
        <v>0.31759379042690816</v>
      </c>
      <c r="F6" s="14">
        <f t="shared" si="1"/>
        <v>0.39286403085824495</v>
      </c>
      <c r="G6" s="14">
        <f t="shared" si="2"/>
        <v>0.35622119815668202</v>
      </c>
    </row>
    <row r="7" spans="2:7" x14ac:dyDescent="0.25">
      <c r="B7" s="8" t="s">
        <v>23</v>
      </c>
      <c r="C7" s="9">
        <f>'Входные данные'!C7</f>
        <v>7339</v>
      </c>
      <c r="D7" s="9">
        <f>'Входные данные'!D7</f>
        <v>6230</v>
      </c>
      <c r="E7" s="10">
        <f t="shared" si="0"/>
        <v>0.17800963081861959</v>
      </c>
      <c r="F7" s="10">
        <f t="shared" si="1"/>
        <v>1.4154291224686595</v>
      </c>
      <c r="G7" s="10">
        <f t="shared" si="2"/>
        <v>1.435483870967742</v>
      </c>
    </row>
    <row r="8" spans="2:7" x14ac:dyDescent="0.25">
      <c r="B8" s="8" t="s">
        <v>24</v>
      </c>
      <c r="C8" s="9">
        <f>'Входные данные'!C8</f>
        <v>-4191</v>
      </c>
      <c r="D8" s="9">
        <f>'Входные данные'!D8</f>
        <v>-3436</v>
      </c>
      <c r="E8" s="10">
        <f t="shared" si="0"/>
        <v>-0.21973224679860304</v>
      </c>
      <c r="F8" s="10">
        <f t="shared" si="1"/>
        <v>-0.80829315332690455</v>
      </c>
      <c r="G8" s="10">
        <f t="shared" si="2"/>
        <v>-0.79170506912442395</v>
      </c>
    </row>
    <row r="9" spans="2:7" x14ac:dyDescent="0.25">
      <c r="B9" s="11" t="s">
        <v>25</v>
      </c>
      <c r="C9" s="12">
        <f>'Входные данные'!C9</f>
        <v>3148</v>
      </c>
      <c r="D9" s="12">
        <f>'Входные данные'!D9</f>
        <v>2794</v>
      </c>
      <c r="E9" s="13">
        <f t="shared" si="0"/>
        <v>0.12670007158196134</v>
      </c>
      <c r="F9" s="14">
        <f t="shared" si="1"/>
        <v>0.60713596914175505</v>
      </c>
      <c r="G9" s="14">
        <f t="shared" si="2"/>
        <v>0.64377880184331793</v>
      </c>
    </row>
    <row r="10" spans="2:7" x14ac:dyDescent="0.25">
      <c r="B10" s="11" t="s">
        <v>26</v>
      </c>
      <c r="C10" s="12">
        <f>'Входные данные'!C10</f>
        <v>5185</v>
      </c>
      <c r="D10" s="12">
        <f>'Входные данные'!D10</f>
        <v>4340</v>
      </c>
      <c r="E10" s="13">
        <f t="shared" si="0"/>
        <v>0.19470046082949308</v>
      </c>
      <c r="F10" s="14">
        <f t="shared" si="1"/>
        <v>1</v>
      </c>
      <c r="G10" s="14">
        <f t="shared" si="2"/>
        <v>1</v>
      </c>
    </row>
    <row r="11" spans="2:7" x14ac:dyDescent="0.25">
      <c r="B11" s="8" t="s">
        <v>27</v>
      </c>
      <c r="C11" s="9">
        <f>'Входные данные'!C11</f>
        <v>447</v>
      </c>
      <c r="D11" s="9">
        <f>'Входные данные'!D11</f>
        <v>386</v>
      </c>
      <c r="E11" s="10">
        <f t="shared" si="0"/>
        <v>0.15803108808290156</v>
      </c>
      <c r="F11" s="10">
        <f t="shared" si="1"/>
        <v>8.621022179363548E-2</v>
      </c>
      <c r="G11" s="10">
        <f t="shared" si="2"/>
        <v>8.8940092165898613E-2</v>
      </c>
    </row>
    <row r="12" spans="2:7" x14ac:dyDescent="0.25">
      <c r="B12" s="8" t="s">
        <v>28</v>
      </c>
      <c r="C12" s="9">
        <f>'Входные данные'!C12</f>
        <v>574</v>
      </c>
      <c r="D12" s="9">
        <f>'Входные данные'!D12</f>
        <v>527</v>
      </c>
      <c r="E12" s="10">
        <f t="shared" si="0"/>
        <v>8.9184060721062622E-2</v>
      </c>
      <c r="F12" s="10">
        <f t="shared" si="1"/>
        <v>0.1107039537126326</v>
      </c>
      <c r="G12" s="10">
        <f t="shared" si="2"/>
        <v>0.12142857142857143</v>
      </c>
    </row>
    <row r="13" spans="2:7" x14ac:dyDescent="0.25">
      <c r="B13" s="8" t="s">
        <v>29</v>
      </c>
      <c r="C13" s="9">
        <f>'Входные данные'!C13</f>
        <v>101</v>
      </c>
      <c r="D13" s="9">
        <f>'Входные данные'!D13</f>
        <v>99</v>
      </c>
      <c r="E13" s="10">
        <f t="shared" si="0"/>
        <v>2.0202020202020204E-2</v>
      </c>
      <c r="F13" s="10">
        <f t="shared" si="1"/>
        <v>1.9479267116682738E-2</v>
      </c>
      <c r="G13" s="10">
        <f t="shared" si="2"/>
        <v>2.2811059907834101E-2</v>
      </c>
    </row>
    <row r="14" spans="2:7" x14ac:dyDescent="0.25">
      <c r="B14" s="8" t="s">
        <v>30</v>
      </c>
      <c r="C14" s="9">
        <f>'Входные данные'!C14</f>
        <v>39</v>
      </c>
      <c r="D14" s="9">
        <f>'Входные данные'!D14</f>
        <v>41</v>
      </c>
      <c r="E14" s="10">
        <f t="shared" si="0"/>
        <v>-4.878048780487805E-2</v>
      </c>
      <c r="F14" s="10">
        <f t="shared" si="1"/>
        <v>7.5216972034715529E-3</v>
      </c>
      <c r="G14" s="10">
        <f t="shared" si="2"/>
        <v>9.4470046082949302E-3</v>
      </c>
    </row>
    <row r="15" spans="2:7" x14ac:dyDescent="0.25">
      <c r="B15" s="8" t="s">
        <v>31</v>
      </c>
      <c r="C15" s="9">
        <f>'Входные данные'!C15</f>
        <v>314</v>
      </c>
      <c r="D15" s="9">
        <f>'Входные данные'!D15</f>
        <v>211</v>
      </c>
      <c r="E15" s="10">
        <f t="shared" si="0"/>
        <v>0.4881516587677725</v>
      </c>
      <c r="F15" s="10">
        <f t="shared" si="1"/>
        <v>6.0559305689488911E-2</v>
      </c>
      <c r="G15" s="10">
        <f t="shared" si="2"/>
        <v>4.861751152073733E-2</v>
      </c>
    </row>
    <row r="16" spans="2:7" x14ac:dyDescent="0.25">
      <c r="B16" s="8" t="s">
        <v>32</v>
      </c>
      <c r="C16" s="9">
        <f>'Входные данные'!C16</f>
        <v>15</v>
      </c>
      <c r="D16" s="9">
        <f>'Входные данные'!D16</f>
        <v>7</v>
      </c>
      <c r="E16" s="10">
        <f t="shared" si="0"/>
        <v>1.1428571428571428</v>
      </c>
      <c r="F16" s="10">
        <f t="shared" si="1"/>
        <v>2.8929604628736743E-3</v>
      </c>
      <c r="G16" s="10">
        <f t="shared" si="2"/>
        <v>1.6129032258064516E-3</v>
      </c>
    </row>
    <row r="17" spans="2:7" x14ac:dyDescent="0.25">
      <c r="B17" s="11" t="s">
        <v>33</v>
      </c>
      <c r="C17" s="12">
        <f>'Входные данные'!C17</f>
        <v>1490</v>
      </c>
      <c r="D17" s="12">
        <f>'Входные данные'!D17</f>
        <v>1271</v>
      </c>
      <c r="E17" s="13">
        <f t="shared" si="0"/>
        <v>0.17230527143981117</v>
      </c>
      <c r="F17" s="14">
        <f t="shared" si="1"/>
        <v>0.28736740597878496</v>
      </c>
      <c r="G17" s="14">
        <f t="shared" si="2"/>
        <v>0.29285714285714287</v>
      </c>
    </row>
    <row r="18" spans="2:7" x14ac:dyDescent="0.25">
      <c r="B18" s="11" t="s">
        <v>34</v>
      </c>
      <c r="C18" s="12">
        <f>'Входные данные'!C18</f>
        <v>3695</v>
      </c>
      <c r="D18" s="12">
        <f>'Входные данные'!D18</f>
        <v>3069</v>
      </c>
      <c r="E18" s="13">
        <f t="shared" si="0"/>
        <v>0.20397523623330074</v>
      </c>
      <c r="F18" s="14">
        <f t="shared" si="1"/>
        <v>0.71263259402121504</v>
      </c>
      <c r="G18" s="14">
        <f t="shared" si="2"/>
        <v>0.70714285714285718</v>
      </c>
    </row>
    <row r="19" spans="2:7" x14ac:dyDescent="0.25">
      <c r="B19" s="8" t="s">
        <v>35</v>
      </c>
      <c r="C19" s="9">
        <f>'Входные данные'!C19</f>
        <v>288</v>
      </c>
      <c r="D19" s="9">
        <f>'Входные данные'!D19</f>
        <v>257</v>
      </c>
      <c r="E19" s="10">
        <f t="shared" si="0"/>
        <v>0.12062256809338522</v>
      </c>
      <c r="F19" s="10">
        <f t="shared" si="1"/>
        <v>5.554484088717454E-2</v>
      </c>
      <c r="G19" s="10">
        <f t="shared" si="2"/>
        <v>5.921658986175115E-2</v>
      </c>
    </row>
    <row r="20" spans="2:7" x14ac:dyDescent="0.25">
      <c r="B20" s="11" t="s">
        <v>36</v>
      </c>
      <c r="C20" s="12">
        <f>'Входные данные'!C20</f>
        <v>3407</v>
      </c>
      <c r="D20" s="12">
        <f>'Входные данные'!D20</f>
        <v>2812</v>
      </c>
      <c r="E20" s="13">
        <f t="shared" si="0"/>
        <v>0.21159317211948792</v>
      </c>
      <c r="F20" s="14">
        <f t="shared" si="1"/>
        <v>0.65708775313404055</v>
      </c>
      <c r="G20" s="14">
        <f t="shared" si="2"/>
        <v>0.64792626728110603</v>
      </c>
    </row>
    <row r="21" spans="2:7" x14ac:dyDescent="0.25">
      <c r="B21" s="8" t="s">
        <v>37</v>
      </c>
      <c r="C21" s="9">
        <f>'Входные данные'!C21</f>
        <v>2652</v>
      </c>
      <c r="D21" s="9">
        <f>'Входные данные'!D21</f>
        <v>2212</v>
      </c>
      <c r="E21" s="10">
        <f t="shared" si="0"/>
        <v>0.19891500904159132</v>
      </c>
      <c r="F21" s="10">
        <f t="shared" si="1"/>
        <v>0.51147540983606554</v>
      </c>
      <c r="G21" s="10">
        <f t="shared" si="2"/>
        <v>0.50967741935483868</v>
      </c>
    </row>
    <row r="22" spans="2:7" x14ac:dyDescent="0.25">
      <c r="B22" s="11" t="s">
        <v>38</v>
      </c>
      <c r="C22" s="12">
        <f>'Входные данные'!C22</f>
        <v>755</v>
      </c>
      <c r="D22" s="12">
        <f>'Входные данные'!D22</f>
        <v>600</v>
      </c>
      <c r="E22" s="13">
        <f t="shared" si="0"/>
        <v>0.25833333333333336</v>
      </c>
      <c r="F22" s="14">
        <f t="shared" si="1"/>
        <v>0.14561234329797493</v>
      </c>
      <c r="G22" s="14">
        <f t="shared" si="2"/>
        <v>0.13824884792626729</v>
      </c>
    </row>
    <row r="24" spans="2:7" ht="21.75" customHeight="1" x14ac:dyDescent="0.25">
      <c r="B24" s="116" t="s">
        <v>79</v>
      </c>
      <c r="C24" s="116"/>
      <c r="D24" s="116"/>
      <c r="E24" s="116"/>
      <c r="F24" s="116"/>
      <c r="G24" s="116"/>
    </row>
    <row r="25" spans="2:7" x14ac:dyDescent="0.25">
      <c r="B25" s="96" t="s">
        <v>80</v>
      </c>
      <c r="C25" s="96" t="s">
        <v>15</v>
      </c>
      <c r="D25" s="96" t="s">
        <v>16</v>
      </c>
      <c r="E25" s="96" t="s">
        <v>81</v>
      </c>
      <c r="F25" s="117" t="s">
        <v>82</v>
      </c>
      <c r="G25" s="117"/>
    </row>
    <row r="26" spans="2:7" x14ac:dyDescent="0.25">
      <c r="B26" s="3" t="s">
        <v>83</v>
      </c>
      <c r="C26" s="10">
        <f>C18/C10</f>
        <v>0.71263259402121504</v>
      </c>
      <c r="D26" s="10">
        <f>D18/D10</f>
        <v>0.70714285714285718</v>
      </c>
      <c r="E26" s="71">
        <f>(C26-D26)*100</f>
        <v>0.54897368783578537</v>
      </c>
      <c r="F26" s="118" t="s">
        <v>84</v>
      </c>
      <c r="G26" s="118"/>
    </row>
    <row r="27" spans="2:7" x14ac:dyDescent="0.25">
      <c r="B27" s="3" t="s">
        <v>85</v>
      </c>
      <c r="C27" s="10">
        <f>C22/C10</f>
        <v>0.14561234329797493</v>
      </c>
      <c r="D27" s="10">
        <f>D22/D10</f>
        <v>0.13824884792626729</v>
      </c>
      <c r="E27" s="71">
        <f>(C27-D27)*100</f>
        <v>0.73634953717076346</v>
      </c>
      <c r="F27" s="118" t="s">
        <v>86</v>
      </c>
      <c r="G27" s="118"/>
    </row>
    <row r="28" spans="2:7" x14ac:dyDescent="0.25">
      <c r="B28" s="3" t="s">
        <v>87</v>
      </c>
      <c r="C28" s="10">
        <f>C17/C10</f>
        <v>0.28736740597878496</v>
      </c>
      <c r="D28" s="10">
        <f>D17/D10</f>
        <v>0.29285714285714287</v>
      </c>
      <c r="E28" s="71">
        <f>(C28-D28)*100</f>
        <v>-0.54897368783579092</v>
      </c>
      <c r="F28" s="118" t="s">
        <v>88</v>
      </c>
      <c r="G28" s="118"/>
    </row>
    <row r="29" spans="2:7" x14ac:dyDescent="0.25">
      <c r="B29" s="3" t="s">
        <v>89</v>
      </c>
      <c r="C29" s="10">
        <f>C9/C10</f>
        <v>0.60713596914175505</v>
      </c>
      <c r="D29" s="10">
        <f>D9/D10</f>
        <v>0.64377880184331793</v>
      </c>
      <c r="E29" s="71">
        <f>(C29-D29)*100</f>
        <v>-3.6642832701562877</v>
      </c>
      <c r="F29" s="118" t="s">
        <v>90</v>
      </c>
      <c r="G29" s="118"/>
    </row>
    <row r="30" spans="2:7" ht="15" customHeight="1" x14ac:dyDescent="0.25">
      <c r="B30" s="3" t="s">
        <v>91</v>
      </c>
      <c r="C30" s="10">
        <f>C19/C18</f>
        <v>7.7943166441136677E-2</v>
      </c>
      <c r="D30" s="10">
        <f>D19/D18</f>
        <v>8.3740632127728906E-2</v>
      </c>
      <c r="E30" s="71">
        <f>(C30-D30)*100</f>
        <v>-0.57974656865922292</v>
      </c>
      <c r="F30" s="118" t="s">
        <v>92</v>
      </c>
      <c r="G30" s="118"/>
    </row>
    <row r="32" spans="2:7" ht="21.75" customHeight="1" x14ac:dyDescent="0.25">
      <c r="B32" s="115" t="s">
        <v>93</v>
      </c>
      <c r="C32" s="115"/>
      <c r="D32" s="115"/>
      <c r="E32" s="115"/>
      <c r="F32" s="115"/>
      <c r="G32" s="115"/>
    </row>
    <row r="33" spans="2:7" ht="43.5" customHeight="1" x14ac:dyDescent="0.25">
      <c r="B33" s="95" t="s">
        <v>94</v>
      </c>
      <c r="C33" s="97">
        <f>E18/E10</f>
        <v>1.0476361245592014</v>
      </c>
      <c r="D33" s="118" t="s">
        <v>95</v>
      </c>
      <c r="E33" s="118"/>
      <c r="F33" s="118"/>
      <c r="G33" s="118"/>
    </row>
  </sheetData>
  <mergeCells count="10">
    <mergeCell ref="F28:G28"/>
    <mergeCell ref="F29:G29"/>
    <mergeCell ref="F30:G30"/>
    <mergeCell ref="B32:G32"/>
    <mergeCell ref="D33:G33"/>
    <mergeCell ref="B1:G1"/>
    <mergeCell ref="B24:G24"/>
    <mergeCell ref="F25:G25"/>
    <mergeCell ref="F26:G26"/>
    <mergeCell ref="F27:G2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04040"/>
  </sheetPr>
  <dimension ref="B1:E17"/>
  <sheetViews>
    <sheetView showGridLines="0" zoomScaleNormal="100" workbookViewId="0">
      <selection activeCell="I16" sqref="I16"/>
    </sheetView>
  </sheetViews>
  <sheetFormatPr defaultColWidth="8.7109375" defaultRowHeight="15" x14ac:dyDescent="0.25"/>
  <cols>
    <col min="1" max="1" width="3" customWidth="1"/>
    <col min="2" max="2" width="55.5703125" bestFit="1" customWidth="1"/>
    <col min="3" max="4" width="10.140625" bestFit="1" customWidth="1"/>
    <col min="5" max="5" width="7.85546875" bestFit="1" customWidth="1"/>
  </cols>
  <sheetData>
    <row r="1" spans="2:5" ht="21.75" customHeight="1" x14ac:dyDescent="0.25">
      <c r="B1" s="115" t="s">
        <v>96</v>
      </c>
      <c r="C1" s="115"/>
      <c r="D1" s="115"/>
      <c r="E1" s="115"/>
    </row>
    <row r="2" spans="2:5" x14ac:dyDescent="0.25">
      <c r="B2" s="69" t="s">
        <v>14</v>
      </c>
      <c r="C2" s="69" t="s">
        <v>43</v>
      </c>
      <c r="D2" s="69" t="s">
        <v>44</v>
      </c>
      <c r="E2" s="69" t="s">
        <v>76</v>
      </c>
    </row>
    <row r="3" spans="2:5" x14ac:dyDescent="0.25">
      <c r="B3" s="11" t="s">
        <v>45</v>
      </c>
      <c r="C3" s="12">
        <f>'Входные данные'!C29</f>
        <v>150518</v>
      </c>
      <c r="D3" s="12">
        <f>'Входные данные'!D29</f>
        <v>128423</v>
      </c>
      <c r="E3" s="13">
        <f t="shared" ref="E3:E9" si="0">(C3-D3)/D3</f>
        <v>0.1720486205741962</v>
      </c>
    </row>
    <row r="4" spans="2:5" x14ac:dyDescent="0.25">
      <c r="B4" s="8" t="s">
        <v>47</v>
      </c>
      <c r="C4" s="9">
        <f>'Входные данные'!C30</f>
        <v>64432</v>
      </c>
      <c r="D4" s="9">
        <f>'Входные данные'!D30</f>
        <v>44472</v>
      </c>
      <c r="E4" s="10">
        <f t="shared" si="0"/>
        <v>0.44882173052707319</v>
      </c>
    </row>
    <row r="5" spans="2:5" x14ac:dyDescent="0.25">
      <c r="B5" s="8" t="s">
        <v>48</v>
      </c>
      <c r="C5" s="9">
        <f>'Входные данные'!C31</f>
        <v>115343</v>
      </c>
      <c r="D5" s="9">
        <f>'Входные данные'!D31</f>
        <v>101012</v>
      </c>
      <c r="E5" s="10">
        <f t="shared" si="0"/>
        <v>0.14187423276442404</v>
      </c>
    </row>
    <row r="6" spans="2:5" x14ac:dyDescent="0.25">
      <c r="B6" s="11" t="s">
        <v>49</v>
      </c>
      <c r="C6" s="12">
        <f>'Входные данные'!C32</f>
        <v>133921</v>
      </c>
      <c r="D6" s="12">
        <f>'Входные данные'!D32</f>
        <v>114356</v>
      </c>
      <c r="E6" s="13">
        <f t="shared" si="0"/>
        <v>0.17108853055370946</v>
      </c>
    </row>
    <row r="7" spans="2:5" x14ac:dyDescent="0.25">
      <c r="B7" s="8" t="s">
        <v>50</v>
      </c>
      <c r="C7" s="9">
        <f>'Входные данные'!C33</f>
        <v>4280</v>
      </c>
      <c r="D7" s="9">
        <f>'Входные данные'!D33</f>
        <v>3584</v>
      </c>
      <c r="E7" s="10">
        <f t="shared" si="0"/>
        <v>0.19419642857142858</v>
      </c>
    </row>
    <row r="8" spans="2:5" x14ac:dyDescent="0.25">
      <c r="B8" s="8" t="s">
        <v>51</v>
      </c>
      <c r="C8" s="9">
        <f>'Входные данные'!C34</f>
        <v>12317</v>
      </c>
      <c r="D8" s="9">
        <f>'Входные данные'!D34</f>
        <v>10483</v>
      </c>
      <c r="E8" s="10">
        <f t="shared" si="0"/>
        <v>0.17494991891634074</v>
      </c>
    </row>
    <row r="9" spans="2:5" x14ac:dyDescent="0.25">
      <c r="B9" s="11" t="s">
        <v>52</v>
      </c>
      <c r="C9" s="12">
        <f>'Входные данные'!C35</f>
        <v>16597</v>
      </c>
      <c r="D9" s="12">
        <f>'Входные данные'!D35</f>
        <v>14067</v>
      </c>
      <c r="E9" s="13">
        <f t="shared" si="0"/>
        <v>0.17985355797255989</v>
      </c>
    </row>
    <row r="11" spans="2:5" ht="21.75" customHeight="1" x14ac:dyDescent="0.25">
      <c r="B11" s="115" t="s">
        <v>97</v>
      </c>
      <c r="C11" s="115"/>
      <c r="D11" s="115"/>
      <c r="E11" s="115"/>
    </row>
    <row r="12" spans="2:5" x14ac:dyDescent="0.25">
      <c r="B12" s="69" t="s">
        <v>98</v>
      </c>
      <c r="C12" s="69" t="s">
        <v>54</v>
      </c>
      <c r="D12" s="69" t="s">
        <v>55</v>
      </c>
      <c r="E12" s="69" t="s">
        <v>81</v>
      </c>
    </row>
    <row r="13" spans="2:5" x14ac:dyDescent="0.25">
      <c r="B13" s="3" t="s">
        <v>99</v>
      </c>
      <c r="C13" s="10">
        <f>C8/C9</f>
        <v>0.74212207025366028</v>
      </c>
      <c r="D13" s="10">
        <f>D8/D9</f>
        <v>0.74521930759934596</v>
      </c>
      <c r="E13" s="15">
        <f>(C13-D13)*100</f>
        <v>-0.30972373456856772</v>
      </c>
    </row>
    <row r="14" spans="2:5" x14ac:dyDescent="0.25">
      <c r="B14" s="3" t="s">
        <v>100</v>
      </c>
      <c r="C14" s="10">
        <f>'P&amp;L Анализ'!C22/C7</f>
        <v>0.17640186915887851</v>
      </c>
      <c r="D14" s="10">
        <f>'P&amp;L Анализ'!D22/D7</f>
        <v>0.16741071428571427</v>
      </c>
      <c r="E14" s="15">
        <f>(C14-D14)*100</f>
        <v>0.89911548731642366</v>
      </c>
    </row>
    <row r="15" spans="2:5" x14ac:dyDescent="0.25">
      <c r="B15" s="3" t="s">
        <v>101</v>
      </c>
      <c r="C15" s="16">
        <f>C3/C7</f>
        <v>35.167757009345792</v>
      </c>
      <c r="D15" s="16">
        <f>D3/D7</f>
        <v>35.832310267857146</v>
      </c>
    </row>
    <row r="17" spans="2:5" ht="61.5" customHeight="1" x14ac:dyDescent="0.25">
      <c r="B17" s="119" t="s">
        <v>102</v>
      </c>
      <c r="C17" s="119"/>
      <c r="D17" s="119"/>
      <c r="E17" s="119"/>
    </row>
  </sheetData>
  <mergeCells count="3">
    <mergeCell ref="B1:E1"/>
    <mergeCell ref="B11:E11"/>
    <mergeCell ref="B17:E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95959"/>
  </sheetPr>
  <dimension ref="B1:F20"/>
  <sheetViews>
    <sheetView showGridLines="0" zoomScaleNormal="100" workbookViewId="0">
      <selection activeCell="M12" sqref="M12"/>
    </sheetView>
  </sheetViews>
  <sheetFormatPr defaultColWidth="8.7109375" defaultRowHeight="15" x14ac:dyDescent="0.25"/>
  <cols>
    <col min="1" max="1" width="3" customWidth="1"/>
    <col min="2" max="2" width="44" customWidth="1"/>
    <col min="3" max="5" width="16" customWidth="1"/>
    <col min="6" max="6" width="40" customWidth="1"/>
  </cols>
  <sheetData>
    <row r="1" spans="2:6" ht="21.75" customHeight="1" x14ac:dyDescent="0.25"/>
    <row r="2" spans="2:6" x14ac:dyDescent="0.25">
      <c r="B2" s="115" t="s">
        <v>103</v>
      </c>
      <c r="C2" s="115"/>
      <c r="D2" s="115"/>
      <c r="E2" s="115"/>
      <c r="F2" s="115"/>
    </row>
    <row r="3" spans="2:6" x14ac:dyDescent="0.25">
      <c r="B3" s="69" t="s">
        <v>98</v>
      </c>
      <c r="C3" s="69" t="s">
        <v>15</v>
      </c>
      <c r="D3" s="69" t="s">
        <v>16</v>
      </c>
      <c r="E3" s="69" t="s">
        <v>104</v>
      </c>
      <c r="F3" s="90" t="s">
        <v>105</v>
      </c>
    </row>
    <row r="4" spans="2:6" x14ac:dyDescent="0.25">
      <c r="B4" s="88" t="s">
        <v>106</v>
      </c>
      <c r="C4" s="9">
        <f>'Входные данные'!C46</f>
        <v>3118</v>
      </c>
      <c r="D4" s="9">
        <f>'Входные данные'!D46</f>
        <v>1934</v>
      </c>
      <c r="E4" s="2">
        <f>(C4-D4)/D4</f>
        <v>0.61220268872802486</v>
      </c>
      <c r="F4" s="74"/>
    </row>
    <row r="5" spans="2:6" ht="23.25" x14ac:dyDescent="0.25">
      <c r="B5" s="88" t="s">
        <v>64</v>
      </c>
      <c r="C5" s="93">
        <f>'Входные данные'!C47</f>
        <v>2.72</v>
      </c>
      <c r="D5" s="93">
        <f>'Входные данные'!D47</f>
        <v>3.19</v>
      </c>
      <c r="E5" s="94">
        <f>(C5-D5)/D5</f>
        <v>-0.1473354231974921</v>
      </c>
      <c r="F5" s="89" t="s">
        <v>107</v>
      </c>
    </row>
    <row r="6" spans="2:6" x14ac:dyDescent="0.25">
      <c r="B6" s="86" t="s">
        <v>108</v>
      </c>
      <c r="C6" s="12">
        <f>'Входные данные'!C3</f>
        <v>1697</v>
      </c>
      <c r="D6" s="12">
        <f>'Входные данные'!D3</f>
        <v>1360</v>
      </c>
      <c r="E6" s="1">
        <f>(C6-D6)/D6</f>
        <v>0.24779411764705883</v>
      </c>
      <c r="F6" s="84"/>
    </row>
    <row r="8" spans="2:6" ht="21.75" customHeight="1" x14ac:dyDescent="0.25">
      <c r="B8" s="115" t="s">
        <v>109</v>
      </c>
      <c r="C8" s="115"/>
      <c r="D8" s="115"/>
      <c r="E8" s="115"/>
      <c r="F8" s="115"/>
    </row>
    <row r="9" spans="2:6" x14ac:dyDescent="0.25">
      <c r="B9" s="69" t="s">
        <v>110</v>
      </c>
      <c r="C9" s="120" t="s">
        <v>111</v>
      </c>
      <c r="D9" s="120"/>
      <c r="E9" s="111" t="s">
        <v>112</v>
      </c>
      <c r="F9" s="111"/>
    </row>
    <row r="10" spans="2:6" x14ac:dyDescent="0.25">
      <c r="B10" s="85" t="s">
        <v>113</v>
      </c>
      <c r="C10" s="121">
        <f>(C4-D4)*D5/(D4*D5)</f>
        <v>0.61220268872802486</v>
      </c>
      <c r="D10" s="121"/>
      <c r="E10" s="122" t="s">
        <v>114</v>
      </c>
      <c r="F10" s="122"/>
    </row>
    <row r="11" spans="2:6" x14ac:dyDescent="0.25">
      <c r="B11" s="85" t="s">
        <v>115</v>
      </c>
      <c r="C11" s="121">
        <f>(C5-D5)*C4/(D4*D5)</f>
        <v>-0.23753456542387813</v>
      </c>
      <c r="D11" s="121"/>
      <c r="E11" s="122" t="s">
        <v>116</v>
      </c>
      <c r="F11" s="122"/>
    </row>
    <row r="12" spans="2:6" x14ac:dyDescent="0.25">
      <c r="B12" s="87" t="s">
        <v>117</v>
      </c>
      <c r="C12" s="124">
        <f>C10+C11</f>
        <v>0.37466812330414673</v>
      </c>
      <c r="D12" s="124"/>
      <c r="E12" s="125"/>
      <c r="F12" s="125"/>
    </row>
    <row r="14" spans="2:6" ht="21.75" customHeight="1" x14ac:dyDescent="0.25">
      <c r="B14" s="115" t="s">
        <v>118</v>
      </c>
      <c r="C14" s="115"/>
      <c r="D14" s="115"/>
      <c r="E14" s="115"/>
      <c r="F14" s="115"/>
    </row>
    <row r="15" spans="2:6" x14ac:dyDescent="0.25">
      <c r="B15" s="69" t="s">
        <v>98</v>
      </c>
      <c r="C15" s="69" t="s">
        <v>15</v>
      </c>
      <c r="D15" s="69" t="s">
        <v>16</v>
      </c>
      <c r="E15" s="69" t="s">
        <v>104</v>
      </c>
      <c r="F15" s="90" t="s">
        <v>17</v>
      </c>
    </row>
    <row r="16" spans="2:6" x14ac:dyDescent="0.25">
      <c r="B16" s="88" t="s">
        <v>65</v>
      </c>
      <c r="C16" s="17">
        <f>'Входные данные'!C48</f>
        <v>64.2</v>
      </c>
      <c r="D16" s="17">
        <f>'Входные данные'!D48</f>
        <v>44.3</v>
      </c>
      <c r="E16" s="2">
        <f>(C16-D16)/D16</f>
        <v>0.44920993227990985</v>
      </c>
      <c r="F16" s="74"/>
    </row>
    <row r="17" spans="2:6" ht="23.25" x14ac:dyDescent="0.25">
      <c r="B17" s="88" t="s">
        <v>119</v>
      </c>
      <c r="C17" s="91">
        <f>'Входные данные'!C53</f>
        <v>2.35E-2</v>
      </c>
      <c r="D17" s="91">
        <f>'Входные данные'!D53</f>
        <v>2.3599999999999999E-2</v>
      </c>
      <c r="E17" s="92">
        <f>(C17-D17)*100</f>
        <v>-9.9999999999999395E-3</v>
      </c>
      <c r="F17" s="89" t="s">
        <v>120</v>
      </c>
    </row>
    <row r="18" spans="2:6" x14ac:dyDescent="0.25">
      <c r="B18" s="86" t="s">
        <v>121</v>
      </c>
      <c r="C18" s="12">
        <f>'Входные данные'!C9</f>
        <v>3148</v>
      </c>
      <c r="D18" s="12">
        <f>'Входные данные'!D9</f>
        <v>2794</v>
      </c>
      <c r="E18" s="1">
        <f>(C18-D18)/D18</f>
        <v>0.12670007158196134</v>
      </c>
      <c r="F18" s="84"/>
    </row>
    <row r="20" spans="2:6" ht="69.75" customHeight="1" x14ac:dyDescent="0.25">
      <c r="B20" s="123" t="s">
        <v>122</v>
      </c>
      <c r="C20" s="123"/>
      <c r="D20" s="123"/>
      <c r="E20" s="123"/>
      <c r="F20" s="123"/>
    </row>
  </sheetData>
  <mergeCells count="12">
    <mergeCell ref="B20:F20"/>
    <mergeCell ref="C11:D11"/>
    <mergeCell ref="E11:F11"/>
    <mergeCell ref="C12:D12"/>
    <mergeCell ref="E12:F12"/>
    <mergeCell ref="B14:F14"/>
    <mergeCell ref="B2:F2"/>
    <mergeCell ref="B8:F8"/>
    <mergeCell ref="C9:D9"/>
    <mergeCell ref="E9:F9"/>
    <mergeCell ref="C10:D10"/>
    <mergeCell ref="E10:F1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95959"/>
  </sheetPr>
  <dimension ref="B1:F21"/>
  <sheetViews>
    <sheetView showGridLines="0" zoomScaleNormal="100" workbookViewId="0">
      <selection activeCell="F26" sqref="F26"/>
    </sheetView>
  </sheetViews>
  <sheetFormatPr defaultColWidth="8.7109375" defaultRowHeight="15" x14ac:dyDescent="0.25"/>
  <cols>
    <col min="1" max="1" width="3" customWidth="1"/>
    <col min="2" max="2" width="73.7109375" bestFit="1" customWidth="1"/>
    <col min="3" max="4" width="8.28515625" bestFit="1" customWidth="1"/>
    <col min="5" max="5" width="7.85546875" bestFit="1" customWidth="1"/>
    <col min="6" max="6" width="134.28515625" customWidth="1"/>
  </cols>
  <sheetData>
    <row r="1" spans="2:6" ht="21.75" customHeight="1" x14ac:dyDescent="0.25"/>
    <row r="2" spans="2:6" x14ac:dyDescent="0.25">
      <c r="B2" s="115" t="s">
        <v>123</v>
      </c>
      <c r="C2" s="115"/>
      <c r="D2" s="115"/>
      <c r="E2" s="115"/>
      <c r="F2" s="115"/>
    </row>
    <row r="3" spans="2:6" x14ac:dyDescent="0.25">
      <c r="B3" s="69" t="s">
        <v>98</v>
      </c>
      <c r="C3" s="69" t="s">
        <v>15</v>
      </c>
      <c r="D3" s="70" t="s">
        <v>16</v>
      </c>
      <c r="E3" s="77" t="s">
        <v>76</v>
      </c>
      <c r="F3" s="77" t="s">
        <v>82</v>
      </c>
    </row>
    <row r="4" spans="2:6" x14ac:dyDescent="0.25">
      <c r="B4" s="85" t="s">
        <v>124</v>
      </c>
      <c r="C4" s="9">
        <f>'Входные данные'!C20</f>
        <v>3407</v>
      </c>
      <c r="D4" s="79">
        <f>'Входные данные'!D20</f>
        <v>2812</v>
      </c>
      <c r="E4" s="82">
        <f>(C4-D4)/D4</f>
        <v>0.21159317211948792</v>
      </c>
      <c r="F4" s="74"/>
    </row>
    <row r="5" spans="2:6" x14ac:dyDescent="0.25">
      <c r="B5" s="85" t="s">
        <v>125</v>
      </c>
      <c r="C5" s="9">
        <f>'Входные данные'!C21</f>
        <v>2652</v>
      </c>
      <c r="D5" s="79">
        <f>'Входные данные'!D21</f>
        <v>2212</v>
      </c>
      <c r="E5" s="82">
        <f>(C5-D5)/D5</f>
        <v>0.19891500904159132</v>
      </c>
      <c r="F5" s="74"/>
    </row>
    <row r="6" spans="2:6" x14ac:dyDescent="0.25">
      <c r="B6" s="87" t="s">
        <v>126</v>
      </c>
      <c r="C6" s="12">
        <f>C4-C5</f>
        <v>755</v>
      </c>
      <c r="D6" s="80">
        <f>D4-D5</f>
        <v>600</v>
      </c>
      <c r="E6" s="83">
        <f>(C6-D6)/D6</f>
        <v>0.25833333333333336</v>
      </c>
      <c r="F6" s="84"/>
    </row>
    <row r="7" spans="2:6" x14ac:dyDescent="0.25">
      <c r="B7" s="85" t="s">
        <v>127</v>
      </c>
      <c r="C7" s="19">
        <f>C6-'Входные данные'!C22</f>
        <v>0</v>
      </c>
      <c r="D7" s="81">
        <f>D6-'Входные данные'!D22</f>
        <v>0</v>
      </c>
      <c r="E7" s="74"/>
      <c r="F7" s="74"/>
    </row>
    <row r="9" spans="2:6" x14ac:dyDescent="0.25">
      <c r="B9" s="115" t="s">
        <v>128</v>
      </c>
      <c r="C9" s="115"/>
      <c r="D9" s="115"/>
      <c r="E9" s="115"/>
      <c r="F9" s="115"/>
    </row>
    <row r="10" spans="2:6" x14ac:dyDescent="0.25">
      <c r="B10" s="69" t="s">
        <v>98</v>
      </c>
      <c r="C10" s="69" t="s">
        <v>54</v>
      </c>
      <c r="D10" s="70" t="s">
        <v>55</v>
      </c>
      <c r="E10" s="77" t="s">
        <v>81</v>
      </c>
      <c r="F10" s="77"/>
    </row>
    <row r="11" spans="2:6" x14ac:dyDescent="0.25">
      <c r="B11" s="85" t="s">
        <v>129</v>
      </c>
      <c r="C11" s="20">
        <f>'Входные данные'!C39</f>
        <v>0.25800000000000001</v>
      </c>
      <c r="D11" s="75">
        <f>'Входные данные'!D39</f>
        <v>0.254</v>
      </c>
      <c r="E11" s="78">
        <f>(C11-D11)*100</f>
        <v>0.40000000000000036</v>
      </c>
      <c r="F11" s="74"/>
    </row>
    <row r="12" spans="2:6" x14ac:dyDescent="0.25">
      <c r="B12" s="85" t="s">
        <v>130</v>
      </c>
      <c r="C12" s="10">
        <f>C5/C4</f>
        <v>0.77839741708247723</v>
      </c>
      <c r="D12" s="2">
        <f>D5/D4</f>
        <v>0.78662873399715505</v>
      </c>
      <c r="E12" s="78">
        <f>(C12-D12)*100</f>
        <v>-0.8231316914677822</v>
      </c>
      <c r="F12" s="74"/>
    </row>
    <row r="13" spans="2:6" ht="32.25" customHeight="1" x14ac:dyDescent="0.25">
      <c r="B13" s="86" t="s">
        <v>131</v>
      </c>
      <c r="C13" s="21">
        <f>(C12-(1-C11))*100</f>
        <v>3.6397417082477235</v>
      </c>
      <c r="D13" s="72">
        <f>(D12-(1-D11))*100</f>
        <v>4.0628733997155049</v>
      </c>
      <c r="E13" s="118" t="s">
        <v>132</v>
      </c>
      <c r="F13" s="118"/>
    </row>
    <row r="14" spans="2:6" x14ac:dyDescent="0.25">
      <c r="B14" s="85" t="s">
        <v>133</v>
      </c>
      <c r="C14" s="71">
        <f>C13-D13</f>
        <v>-0.4231316914677814</v>
      </c>
      <c r="D14" s="76"/>
      <c r="E14" s="74"/>
      <c r="F14" s="74"/>
    </row>
    <row r="15" spans="2:6" x14ac:dyDescent="0.25">
      <c r="B15" s="85" t="s">
        <v>134</v>
      </c>
      <c r="C15" s="22" t="s">
        <v>135</v>
      </c>
      <c r="D15" s="73" t="s">
        <v>136</v>
      </c>
      <c r="E15" s="118" t="s">
        <v>137</v>
      </c>
      <c r="F15" s="118"/>
    </row>
    <row r="17" spans="2:6" x14ac:dyDescent="0.25">
      <c r="B17" s="115" t="s">
        <v>138</v>
      </c>
      <c r="C17" s="115"/>
      <c r="D17" s="115"/>
      <c r="E17" s="115"/>
      <c r="F17" s="115"/>
    </row>
    <row r="18" spans="2:6" x14ac:dyDescent="0.25">
      <c r="B18" s="69" t="s">
        <v>139</v>
      </c>
      <c r="C18" s="120" t="s">
        <v>140</v>
      </c>
      <c r="D18" s="120"/>
      <c r="E18" s="128" t="s">
        <v>141</v>
      </c>
      <c r="F18" s="128"/>
    </row>
    <row r="19" spans="2:6" x14ac:dyDescent="0.25">
      <c r="B19" s="85" t="s">
        <v>142</v>
      </c>
      <c r="C19" s="129">
        <f>(C4/D4-1)*100</f>
        <v>21.159317211948792</v>
      </c>
      <c r="D19" s="129"/>
      <c r="E19" s="122" t="s">
        <v>143</v>
      </c>
      <c r="F19" s="122"/>
    </row>
    <row r="20" spans="2:6" ht="27.75" customHeight="1" x14ac:dyDescent="0.25">
      <c r="B20" s="88" t="s">
        <v>144</v>
      </c>
      <c r="C20" s="129">
        <f>(C6/D6-1)*100-C19</f>
        <v>4.6740161213845361</v>
      </c>
      <c r="D20" s="129"/>
      <c r="E20" s="130" t="s">
        <v>145</v>
      </c>
      <c r="F20" s="130"/>
    </row>
    <row r="21" spans="2:6" x14ac:dyDescent="0.25">
      <c r="B21" s="87" t="s">
        <v>146</v>
      </c>
      <c r="C21" s="126">
        <f>(C6/D6-1)*100</f>
        <v>25.833333333333329</v>
      </c>
      <c r="D21" s="126"/>
      <c r="E21" s="127"/>
      <c r="F21" s="127"/>
    </row>
  </sheetData>
  <mergeCells count="13">
    <mergeCell ref="C21:D21"/>
    <mergeCell ref="E21:F21"/>
    <mergeCell ref="C18:D18"/>
    <mergeCell ref="E18:F18"/>
    <mergeCell ref="C19:D19"/>
    <mergeCell ref="E19:F19"/>
    <mergeCell ref="C20:D20"/>
    <mergeCell ref="E20:F20"/>
    <mergeCell ref="B2:F2"/>
    <mergeCell ref="B9:F9"/>
    <mergeCell ref="E13:F13"/>
    <mergeCell ref="E15:F15"/>
    <mergeCell ref="B17:F17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62626"/>
  </sheetPr>
  <dimension ref="B1:F14"/>
  <sheetViews>
    <sheetView showGridLines="0" zoomScaleNormal="100" workbookViewId="0">
      <selection activeCell="I18" sqref="I18"/>
    </sheetView>
  </sheetViews>
  <sheetFormatPr defaultColWidth="8.7109375" defaultRowHeight="15" x14ac:dyDescent="0.25"/>
  <cols>
    <col min="1" max="1" width="3" customWidth="1"/>
    <col min="2" max="2" width="61" bestFit="1" customWidth="1"/>
    <col min="3" max="3" width="18.5703125" bestFit="1" customWidth="1"/>
    <col min="4" max="4" width="12" bestFit="1" customWidth="1"/>
    <col min="5" max="5" width="5.140625" bestFit="1" customWidth="1"/>
    <col min="6" max="6" width="7.42578125" bestFit="1" customWidth="1"/>
  </cols>
  <sheetData>
    <row r="1" spans="2:6" ht="21.75" customHeight="1" x14ac:dyDescent="0.25"/>
    <row r="2" spans="2:6" x14ac:dyDescent="0.25">
      <c r="B2" s="115" t="s">
        <v>147</v>
      </c>
      <c r="C2" s="115"/>
      <c r="D2" s="115"/>
      <c r="E2" s="115"/>
      <c r="F2" s="115"/>
    </row>
    <row r="3" spans="2:6" x14ac:dyDescent="0.25">
      <c r="B3" s="23" t="s">
        <v>148</v>
      </c>
      <c r="C3" s="9">
        <f>'Входные данные'!C9</f>
        <v>3148</v>
      </c>
    </row>
    <row r="4" spans="2:6" x14ac:dyDescent="0.25">
      <c r="B4" s="23" t="s">
        <v>149</v>
      </c>
      <c r="C4" s="9">
        <f>'Входные данные'!C57</f>
        <v>-335</v>
      </c>
    </row>
    <row r="5" spans="2:6" x14ac:dyDescent="0.25">
      <c r="B5" s="23" t="s">
        <v>150</v>
      </c>
      <c r="C5" s="9">
        <f>'Входные данные'!C10</f>
        <v>5185</v>
      </c>
    </row>
    <row r="6" spans="2:6" x14ac:dyDescent="0.25">
      <c r="B6" s="24" t="s">
        <v>151</v>
      </c>
      <c r="C6" s="25">
        <v>-100</v>
      </c>
    </row>
    <row r="8" spans="2:6" ht="21.75" customHeight="1" x14ac:dyDescent="0.25">
      <c r="B8" s="115" t="s">
        <v>152</v>
      </c>
      <c r="C8" s="115"/>
      <c r="D8" s="115"/>
      <c r="E8" s="115"/>
      <c r="F8" s="115"/>
    </row>
    <row r="9" spans="2:6" x14ac:dyDescent="0.25">
      <c r="B9" s="69" t="s">
        <v>98</v>
      </c>
      <c r="C9" s="69" t="s">
        <v>153</v>
      </c>
      <c r="D9" s="69" t="s">
        <v>154</v>
      </c>
      <c r="E9" s="69" t="s">
        <v>104</v>
      </c>
      <c r="F9" s="69" t="s">
        <v>76</v>
      </c>
    </row>
    <row r="10" spans="2:6" x14ac:dyDescent="0.25">
      <c r="B10" s="3" t="s">
        <v>155</v>
      </c>
      <c r="C10" s="26">
        <f>C3</f>
        <v>3148</v>
      </c>
      <c r="D10" s="26">
        <f>C3+C4*(C6/-100)</f>
        <v>2813</v>
      </c>
      <c r="E10" s="26">
        <f>D10-C10</f>
        <v>-335</v>
      </c>
      <c r="F10" s="10">
        <f>E10/C10</f>
        <v>-0.10641677255400254</v>
      </c>
    </row>
    <row r="11" spans="2:6" x14ac:dyDescent="0.25">
      <c r="B11" s="18" t="s">
        <v>156</v>
      </c>
      <c r="C11" s="12">
        <f>C5</f>
        <v>5185</v>
      </c>
      <c r="D11" s="12">
        <f>C5+(D10-C10)</f>
        <v>4850</v>
      </c>
      <c r="E11" s="12">
        <f>D11-C11</f>
        <v>-335</v>
      </c>
      <c r="F11" s="13">
        <f>E11/C11</f>
        <v>-6.4609450337512059E-2</v>
      </c>
    </row>
    <row r="12" spans="2:6" x14ac:dyDescent="0.25">
      <c r="B12" s="3" t="s">
        <v>157</v>
      </c>
      <c r="C12" s="26">
        <f>C11*'P&amp;L Анализ'!C26</f>
        <v>3695</v>
      </c>
      <c r="D12" s="26">
        <f>D11*'P&amp;L Анализ'!C26</f>
        <v>3456.2680810028928</v>
      </c>
      <c r="E12" s="26">
        <f>D12-C12</f>
        <v>-238.73191899710719</v>
      </c>
      <c r="F12" s="10">
        <f>E12/C12</f>
        <v>-6.46094503375121E-2</v>
      </c>
    </row>
    <row r="14" spans="2:6" ht="39.75" customHeight="1" x14ac:dyDescent="0.25">
      <c r="B14" s="119" t="s">
        <v>158</v>
      </c>
      <c r="C14" s="119"/>
      <c r="D14" s="119"/>
      <c r="E14" s="119"/>
      <c r="F14" s="119"/>
    </row>
  </sheetData>
  <mergeCells count="3">
    <mergeCell ref="B2:F2"/>
    <mergeCell ref="B8:F8"/>
    <mergeCell ref="B14:F14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B2:E64"/>
  <sheetViews>
    <sheetView showGridLines="0" zoomScaleNormal="100" workbookViewId="0">
      <selection activeCell="N10" sqref="N10"/>
    </sheetView>
  </sheetViews>
  <sheetFormatPr defaultColWidth="8.7109375" defaultRowHeight="15" x14ac:dyDescent="0.25"/>
  <cols>
    <col min="1" max="1" width="3" customWidth="1"/>
    <col min="2" max="2" width="77.140625" customWidth="1"/>
    <col min="3" max="3" width="11.140625" customWidth="1"/>
    <col min="4" max="4" width="10.85546875" customWidth="1"/>
    <col min="5" max="5" width="12.28515625" customWidth="1"/>
  </cols>
  <sheetData>
    <row r="2" spans="2:5" ht="24" customHeight="1" x14ac:dyDescent="0.25">
      <c r="B2" s="107" t="s">
        <v>265</v>
      </c>
      <c r="C2" s="107"/>
      <c r="D2" s="107"/>
      <c r="E2" s="107"/>
    </row>
    <row r="4" spans="2:5" x14ac:dyDescent="0.25">
      <c r="B4" s="45" t="s">
        <v>159</v>
      </c>
      <c r="C4" s="45" t="s">
        <v>54</v>
      </c>
      <c r="D4" s="45" t="s">
        <v>55</v>
      </c>
      <c r="E4" s="45" t="s">
        <v>160</v>
      </c>
    </row>
    <row r="5" spans="2:5" ht="21.75" customHeight="1" x14ac:dyDescent="0.25">
      <c r="B5" s="106" t="s">
        <v>161</v>
      </c>
      <c r="C5" s="106"/>
      <c r="D5" s="106"/>
      <c r="E5" s="106"/>
    </row>
    <row r="6" spans="2:5" x14ac:dyDescent="0.25">
      <c r="B6" s="66" t="s">
        <v>36</v>
      </c>
      <c r="C6" s="42">
        <v>3407</v>
      </c>
      <c r="D6" s="42">
        <v>2812</v>
      </c>
      <c r="E6" s="42">
        <v>1842</v>
      </c>
    </row>
    <row r="7" spans="2:5" ht="21.75" customHeight="1" x14ac:dyDescent="0.25">
      <c r="B7" s="106" t="s">
        <v>162</v>
      </c>
      <c r="C7" s="106"/>
      <c r="D7" s="106"/>
      <c r="E7" s="106"/>
    </row>
    <row r="8" spans="2:5" x14ac:dyDescent="0.25">
      <c r="B8" s="66" t="s">
        <v>163</v>
      </c>
      <c r="C8" s="42">
        <v>-2</v>
      </c>
      <c r="D8" s="42">
        <v>30</v>
      </c>
      <c r="E8" s="42">
        <v>20</v>
      </c>
    </row>
    <row r="9" spans="2:5" x14ac:dyDescent="0.25">
      <c r="B9" s="66" t="s">
        <v>164</v>
      </c>
      <c r="C9" s="42">
        <v>67</v>
      </c>
      <c r="D9" s="42">
        <v>65</v>
      </c>
      <c r="E9" s="42">
        <v>58</v>
      </c>
    </row>
    <row r="10" spans="2:5" x14ac:dyDescent="0.25">
      <c r="B10" s="66" t="s">
        <v>165</v>
      </c>
      <c r="C10" s="42">
        <v>29</v>
      </c>
      <c r="D10" s="42">
        <v>29</v>
      </c>
      <c r="E10" s="42">
        <v>26</v>
      </c>
    </row>
    <row r="11" spans="2:5" x14ac:dyDescent="0.25">
      <c r="B11" s="66" t="s">
        <v>166</v>
      </c>
      <c r="C11" s="42">
        <v>112</v>
      </c>
      <c r="D11" s="42">
        <v>100</v>
      </c>
      <c r="E11" s="42">
        <v>92</v>
      </c>
    </row>
    <row r="12" spans="2:5" x14ac:dyDescent="0.25">
      <c r="B12" s="66" t="s">
        <v>167</v>
      </c>
      <c r="C12" s="42">
        <v>-12</v>
      </c>
      <c r="D12" s="42">
        <v>-14</v>
      </c>
      <c r="E12" s="42">
        <v>8</v>
      </c>
    </row>
    <row r="13" spans="2:5" x14ac:dyDescent="0.25">
      <c r="B13" s="66" t="s">
        <v>168</v>
      </c>
      <c r="C13" s="42">
        <v>10</v>
      </c>
      <c r="D13" s="42">
        <v>-7</v>
      </c>
      <c r="E13" s="42">
        <v>-6</v>
      </c>
    </row>
    <row r="14" spans="2:5" x14ac:dyDescent="0.25">
      <c r="B14" s="66" t="s">
        <v>169</v>
      </c>
      <c r="C14" s="42">
        <v>15</v>
      </c>
      <c r="D14" s="42">
        <v>7</v>
      </c>
      <c r="E14" s="42">
        <v>3</v>
      </c>
    </row>
    <row r="15" spans="2:5" x14ac:dyDescent="0.25">
      <c r="B15" s="66" t="s">
        <v>170</v>
      </c>
      <c r="C15" s="42">
        <v>0</v>
      </c>
      <c r="D15" s="42">
        <v>0</v>
      </c>
      <c r="E15" s="42">
        <v>1</v>
      </c>
    </row>
    <row r="16" spans="2:5" x14ac:dyDescent="0.25">
      <c r="B16" s="66" t="s">
        <v>171</v>
      </c>
      <c r="C16" s="42">
        <v>23</v>
      </c>
      <c r="D16" s="42">
        <v>12</v>
      </c>
      <c r="E16" s="42">
        <v>9</v>
      </c>
    </row>
    <row r="17" spans="2:5" ht="21.75" customHeight="1" x14ac:dyDescent="0.25">
      <c r="B17" s="106" t="s">
        <v>172</v>
      </c>
      <c r="C17" s="106"/>
      <c r="D17" s="106"/>
      <c r="E17" s="106"/>
    </row>
    <row r="18" spans="2:5" x14ac:dyDescent="0.25">
      <c r="B18" s="66" t="s">
        <v>173</v>
      </c>
      <c r="C18" s="42">
        <v>7540</v>
      </c>
      <c r="D18" s="42">
        <v>-3605</v>
      </c>
      <c r="E18" s="42">
        <v>-16660</v>
      </c>
    </row>
    <row r="19" spans="2:5" x14ac:dyDescent="0.25">
      <c r="B19" s="66" t="s">
        <v>174</v>
      </c>
      <c r="C19" s="42">
        <v>466</v>
      </c>
      <c r="D19" s="42">
        <v>-1086</v>
      </c>
      <c r="E19" s="42">
        <v>-837</v>
      </c>
    </row>
    <row r="20" spans="2:5" x14ac:dyDescent="0.25">
      <c r="B20" s="66" t="s">
        <v>175</v>
      </c>
      <c r="C20" s="42">
        <v>-1071</v>
      </c>
      <c r="D20" s="42">
        <v>525</v>
      </c>
      <c r="E20" s="42">
        <v>-1649</v>
      </c>
    </row>
    <row r="21" spans="2:5" x14ac:dyDescent="0.25">
      <c r="B21" s="66" t="s">
        <v>176</v>
      </c>
      <c r="C21" s="42">
        <v>-434</v>
      </c>
      <c r="D21" s="42">
        <v>-1033</v>
      </c>
      <c r="E21" s="42">
        <v>189</v>
      </c>
    </row>
    <row r="22" spans="2:5" x14ac:dyDescent="0.25">
      <c r="B22" s="66" t="s">
        <v>177</v>
      </c>
      <c r="C22" s="42">
        <v>-19975</v>
      </c>
      <c r="D22" s="42">
        <v>-5719</v>
      </c>
      <c r="E22" s="42">
        <v>16172</v>
      </c>
    </row>
    <row r="23" spans="2:5" x14ac:dyDescent="0.25">
      <c r="B23" s="66" t="s">
        <v>178</v>
      </c>
      <c r="C23" s="42">
        <v>-624</v>
      </c>
      <c r="D23" s="42">
        <v>1792</v>
      </c>
      <c r="E23" s="42">
        <v>88</v>
      </c>
    </row>
    <row r="24" spans="2:5" x14ac:dyDescent="0.25">
      <c r="B24" s="66" t="s">
        <v>179</v>
      </c>
      <c r="C24" s="42">
        <v>-203</v>
      </c>
      <c r="D24" s="42">
        <v>-103</v>
      </c>
      <c r="E24" s="42">
        <v>35</v>
      </c>
    </row>
    <row r="25" spans="2:5" x14ac:dyDescent="0.25">
      <c r="B25" s="66" t="s">
        <v>180</v>
      </c>
      <c r="C25" s="42">
        <v>4901</v>
      </c>
      <c r="D25" s="42">
        <v>2407</v>
      </c>
      <c r="E25" s="42">
        <v>-2829</v>
      </c>
    </row>
    <row r="26" spans="2:5" ht="15.75" customHeight="1" x14ac:dyDescent="0.25">
      <c r="B26" s="66" t="s">
        <v>181</v>
      </c>
      <c r="C26" s="42">
        <v>100</v>
      </c>
      <c r="D26" s="42">
        <v>47</v>
      </c>
      <c r="E26" s="42">
        <v>-36</v>
      </c>
    </row>
    <row r="27" spans="2:5" x14ac:dyDescent="0.25">
      <c r="B27" s="66" t="s">
        <v>182</v>
      </c>
      <c r="C27" s="42">
        <v>14331</v>
      </c>
      <c r="D27" s="42">
        <v>7817</v>
      </c>
      <c r="E27" s="42">
        <v>7561</v>
      </c>
    </row>
    <row r="28" spans="2:5" x14ac:dyDescent="0.25">
      <c r="B28" s="66" t="s">
        <v>183</v>
      </c>
      <c r="C28" s="42">
        <v>44</v>
      </c>
      <c r="D28" s="42">
        <v>468</v>
      </c>
      <c r="E28" s="42">
        <v>-119</v>
      </c>
    </row>
    <row r="29" spans="2:5" x14ac:dyDescent="0.25">
      <c r="B29" s="68" t="s">
        <v>184</v>
      </c>
      <c r="C29" s="62">
        <v>8724</v>
      </c>
      <c r="D29" s="62">
        <v>4544</v>
      </c>
      <c r="E29" s="62">
        <v>3968</v>
      </c>
    </row>
    <row r="30" spans="2:5" x14ac:dyDescent="0.25">
      <c r="B30" s="43"/>
      <c r="C30" s="43"/>
      <c r="D30" s="43"/>
      <c r="E30" s="43"/>
    </row>
    <row r="31" spans="2:5" ht="21.75" customHeight="1" x14ac:dyDescent="0.25">
      <c r="B31" s="106" t="s">
        <v>185</v>
      </c>
      <c r="C31" s="106"/>
      <c r="D31" s="106"/>
      <c r="E31" s="106"/>
    </row>
    <row r="32" spans="2:5" x14ac:dyDescent="0.25">
      <c r="B32" s="66" t="s">
        <v>186</v>
      </c>
      <c r="C32" s="42">
        <v>-40</v>
      </c>
      <c r="D32" s="42">
        <v>-26</v>
      </c>
      <c r="E32" s="42">
        <v>-5</v>
      </c>
    </row>
    <row r="33" spans="2:5" x14ac:dyDescent="0.25">
      <c r="B33" s="66" t="s">
        <v>187</v>
      </c>
      <c r="C33" s="42">
        <v>45</v>
      </c>
      <c r="D33" s="42">
        <v>23</v>
      </c>
      <c r="E33" s="42">
        <v>7</v>
      </c>
    </row>
    <row r="34" spans="2:5" x14ac:dyDescent="0.25">
      <c r="B34" s="66" t="s">
        <v>188</v>
      </c>
      <c r="C34" s="42">
        <v>-49</v>
      </c>
      <c r="D34" s="42">
        <v>-49</v>
      </c>
      <c r="E34" s="42">
        <v>-69</v>
      </c>
    </row>
    <row r="35" spans="2:5" x14ac:dyDescent="0.25">
      <c r="B35" s="67" t="s">
        <v>189</v>
      </c>
      <c r="C35" s="62">
        <v>-44</v>
      </c>
      <c r="D35" s="62">
        <v>-52</v>
      </c>
      <c r="E35" s="62">
        <v>-67</v>
      </c>
    </row>
    <row r="36" spans="2:5" x14ac:dyDescent="0.25">
      <c r="B36" s="43"/>
      <c r="C36" s="43"/>
      <c r="D36" s="43"/>
      <c r="E36" s="43"/>
    </row>
    <row r="37" spans="2:5" ht="21.75" customHeight="1" x14ac:dyDescent="0.25">
      <c r="B37" s="106" t="s">
        <v>190</v>
      </c>
      <c r="C37" s="106"/>
      <c r="D37" s="106"/>
      <c r="E37" s="106"/>
    </row>
    <row r="38" spans="2:5" x14ac:dyDescent="0.25">
      <c r="B38" s="65" t="s">
        <v>191</v>
      </c>
      <c r="C38" s="42">
        <v>-3</v>
      </c>
      <c r="D38" s="42">
        <v>-1</v>
      </c>
      <c r="E38" s="42">
        <v>-9</v>
      </c>
    </row>
    <row r="39" spans="2:5" x14ac:dyDescent="0.25">
      <c r="B39" s="65" t="s">
        <v>192</v>
      </c>
      <c r="C39" s="42">
        <v>-92</v>
      </c>
      <c r="D39" s="42">
        <v>-42</v>
      </c>
      <c r="E39" s="42">
        <v>-40</v>
      </c>
    </row>
    <row r="40" spans="2:5" x14ac:dyDescent="0.25">
      <c r="B40" s="65" t="s">
        <v>193</v>
      </c>
      <c r="C40" s="42">
        <v>-715</v>
      </c>
      <c r="D40" s="42">
        <v>-556</v>
      </c>
      <c r="E40" s="42">
        <v>-404</v>
      </c>
    </row>
    <row r="41" spans="2:5" x14ac:dyDescent="0.25">
      <c r="B41" s="65" t="s">
        <v>194</v>
      </c>
      <c r="C41" s="42">
        <v>-54</v>
      </c>
      <c r="D41" s="42">
        <v>-34</v>
      </c>
      <c r="E41" s="42">
        <v>-20</v>
      </c>
    </row>
    <row r="42" spans="2:5" x14ac:dyDescent="0.25">
      <c r="B42" s="65" t="s">
        <v>195</v>
      </c>
      <c r="C42" s="42">
        <v>56</v>
      </c>
      <c r="D42" s="42">
        <v>34</v>
      </c>
      <c r="E42" s="42">
        <v>23</v>
      </c>
    </row>
    <row r="43" spans="2:5" x14ac:dyDescent="0.25">
      <c r="B43" s="65" t="s">
        <v>196</v>
      </c>
      <c r="C43" s="42">
        <v>-25</v>
      </c>
      <c r="D43" s="42">
        <v>-25</v>
      </c>
      <c r="E43" s="42">
        <v>-20</v>
      </c>
    </row>
    <row r="44" spans="2:5" x14ac:dyDescent="0.25">
      <c r="B44" s="63" t="s">
        <v>197</v>
      </c>
      <c r="C44" s="62">
        <v>-833</v>
      </c>
      <c r="D44" s="62">
        <v>-624</v>
      </c>
      <c r="E44" s="62">
        <v>-470</v>
      </c>
    </row>
    <row r="45" spans="2:5" x14ac:dyDescent="0.25">
      <c r="B45" s="43"/>
      <c r="C45" s="43"/>
      <c r="D45" s="43"/>
      <c r="E45" s="43"/>
    </row>
    <row r="46" spans="2:5" ht="21.75" customHeight="1" x14ac:dyDescent="0.25">
      <c r="B46" s="106" t="s">
        <v>198</v>
      </c>
      <c r="C46" s="106"/>
      <c r="D46" s="106"/>
      <c r="E46" s="106"/>
    </row>
    <row r="47" spans="2:5" x14ac:dyDescent="0.25">
      <c r="B47" s="64" t="s">
        <v>199</v>
      </c>
      <c r="C47" s="42">
        <v>-207</v>
      </c>
      <c r="D47" s="42">
        <v>122</v>
      </c>
      <c r="E47" s="42">
        <v>-111</v>
      </c>
    </row>
    <row r="48" spans="2:5" x14ac:dyDescent="0.25">
      <c r="B48" s="61" t="s">
        <v>200</v>
      </c>
      <c r="C48" s="62">
        <v>7640</v>
      </c>
      <c r="D48" s="62">
        <v>3990</v>
      </c>
      <c r="E48" s="62">
        <v>3320</v>
      </c>
    </row>
    <row r="49" spans="2:5" x14ac:dyDescent="0.25">
      <c r="B49" s="64" t="s">
        <v>201</v>
      </c>
      <c r="C49" s="42">
        <v>32593</v>
      </c>
      <c r="D49" s="42">
        <v>28603</v>
      </c>
      <c r="E49" s="42">
        <v>25283</v>
      </c>
    </row>
    <row r="50" spans="2:5" x14ac:dyDescent="0.25">
      <c r="B50" s="61" t="s">
        <v>202</v>
      </c>
      <c r="C50" s="62">
        <v>40233</v>
      </c>
      <c r="D50" s="62">
        <v>32593</v>
      </c>
      <c r="E50" s="62">
        <v>28603</v>
      </c>
    </row>
    <row r="51" spans="2:5" x14ac:dyDescent="0.25">
      <c r="B51" s="43"/>
      <c r="C51" s="43"/>
      <c r="D51" s="43"/>
      <c r="E51" s="43"/>
    </row>
    <row r="52" spans="2:5" ht="21.75" customHeight="1" x14ac:dyDescent="0.25">
      <c r="B52" s="106" t="s">
        <v>203</v>
      </c>
      <c r="C52" s="106"/>
      <c r="D52" s="106"/>
      <c r="E52" s="106"/>
    </row>
    <row r="53" spans="2:5" x14ac:dyDescent="0.25">
      <c r="B53" s="66" t="s">
        <v>204</v>
      </c>
      <c r="C53" s="42">
        <v>4190</v>
      </c>
      <c r="D53" s="42">
        <v>3317</v>
      </c>
      <c r="E53" s="42">
        <v>833</v>
      </c>
    </row>
    <row r="54" spans="2:5" x14ac:dyDescent="0.25">
      <c r="B54" s="66" t="s">
        <v>205</v>
      </c>
      <c r="C54" s="42">
        <v>279</v>
      </c>
      <c r="D54" s="42">
        <v>228</v>
      </c>
      <c r="E54" s="42">
        <v>148</v>
      </c>
    </row>
    <row r="55" spans="2:5" x14ac:dyDescent="0.25">
      <c r="B55" s="66" t="s">
        <v>206</v>
      </c>
      <c r="C55" s="42">
        <v>39</v>
      </c>
      <c r="D55" s="42">
        <v>35</v>
      </c>
      <c r="E55" s="42">
        <v>32</v>
      </c>
    </row>
    <row r="56" spans="2:5" x14ac:dyDescent="0.25">
      <c r="B56" s="43"/>
      <c r="C56" s="43"/>
      <c r="D56" s="43"/>
      <c r="E56" s="43"/>
    </row>
    <row r="57" spans="2:5" ht="21.75" customHeight="1" x14ac:dyDescent="0.25">
      <c r="B57" s="106" t="s">
        <v>207</v>
      </c>
      <c r="C57" s="106"/>
      <c r="D57" s="106"/>
      <c r="E57" s="106"/>
    </row>
    <row r="58" spans="2:5" x14ac:dyDescent="0.25">
      <c r="B58" s="66" t="s">
        <v>208</v>
      </c>
      <c r="C58" s="42">
        <v>39</v>
      </c>
      <c r="D58" s="42">
        <v>229</v>
      </c>
      <c r="E58" s="42">
        <v>192</v>
      </c>
    </row>
    <row r="59" spans="2:5" x14ac:dyDescent="0.25">
      <c r="B59" s="66" t="s">
        <v>209</v>
      </c>
      <c r="C59" s="42">
        <v>-39</v>
      </c>
      <c r="D59" s="42">
        <v>-229</v>
      </c>
      <c r="E59" s="42">
        <v>-192</v>
      </c>
    </row>
    <row r="60" spans="2:5" ht="26.25" x14ac:dyDescent="0.25">
      <c r="B60" s="66" t="s">
        <v>210</v>
      </c>
      <c r="C60" s="42">
        <v>41</v>
      </c>
      <c r="D60" s="42">
        <v>33</v>
      </c>
      <c r="E60" s="42">
        <v>27</v>
      </c>
    </row>
    <row r="61" spans="2:5" ht="26.25" x14ac:dyDescent="0.25">
      <c r="B61" s="66" t="s">
        <v>211</v>
      </c>
      <c r="C61" s="42">
        <v>-41</v>
      </c>
      <c r="D61" s="42">
        <v>-33</v>
      </c>
      <c r="E61" s="42">
        <v>-27</v>
      </c>
    </row>
    <row r="64" spans="2:5" ht="27.75" customHeight="1" x14ac:dyDescent="0.25">
      <c r="B64" s="131"/>
      <c r="C64" s="131"/>
      <c r="D64" s="131"/>
      <c r="E64" s="131"/>
    </row>
  </sheetData>
  <mergeCells count="10">
    <mergeCell ref="B2:E2"/>
    <mergeCell ref="B5:E5"/>
    <mergeCell ref="B7:E7"/>
    <mergeCell ref="B17:E17"/>
    <mergeCell ref="B64:E64"/>
    <mergeCell ref="B31:E31"/>
    <mergeCell ref="B37:E37"/>
    <mergeCell ref="B46:E46"/>
    <mergeCell ref="B52:E52"/>
    <mergeCell ref="B57:E57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04040"/>
  </sheetPr>
  <dimension ref="B2:F37"/>
  <sheetViews>
    <sheetView showGridLines="0" zoomScaleNormal="100" workbookViewId="0">
      <selection activeCell="B4" sqref="B4:F4"/>
    </sheetView>
  </sheetViews>
  <sheetFormatPr defaultColWidth="8.7109375" defaultRowHeight="15" x14ac:dyDescent="0.25"/>
  <cols>
    <col min="1" max="1" width="3" customWidth="1"/>
    <col min="2" max="2" width="71.7109375" customWidth="1"/>
    <col min="3" max="5" width="13" customWidth="1"/>
    <col min="6" max="6" width="45" customWidth="1"/>
  </cols>
  <sheetData>
    <row r="2" spans="2:6" ht="18" x14ac:dyDescent="0.25">
      <c r="B2" s="107" t="s">
        <v>212</v>
      </c>
      <c r="C2" s="107"/>
      <c r="D2" s="107"/>
      <c r="E2" s="107"/>
      <c r="F2" s="107"/>
    </row>
    <row r="4" spans="2:6" ht="21.75" customHeight="1" x14ac:dyDescent="0.25">
      <c r="B4" s="132" t="s">
        <v>213</v>
      </c>
      <c r="C4" s="132"/>
      <c r="D4" s="132"/>
      <c r="E4" s="132"/>
      <c r="F4" s="132"/>
    </row>
    <row r="5" spans="2:6" x14ac:dyDescent="0.25">
      <c r="B5" s="46" t="s">
        <v>98</v>
      </c>
      <c r="C5" s="46" t="s">
        <v>54</v>
      </c>
      <c r="D5" s="46" t="s">
        <v>55</v>
      </c>
      <c r="E5" s="46" t="s">
        <v>160</v>
      </c>
      <c r="F5" s="57" t="s">
        <v>82</v>
      </c>
    </row>
    <row r="6" spans="2:6" x14ac:dyDescent="0.25">
      <c r="B6" s="8" t="s">
        <v>214</v>
      </c>
      <c r="C6" s="30">
        <f>'Cash Flow - Входные данные'!C6</f>
        <v>3407</v>
      </c>
      <c r="D6" s="30">
        <f>'Cash Flow - Входные данные'!D6</f>
        <v>2812</v>
      </c>
      <c r="E6" s="53">
        <f>'Cash Flow - Входные данные'!E6</f>
        <v>1842</v>
      </c>
      <c r="F6" s="133" t="s">
        <v>217</v>
      </c>
    </row>
    <row r="7" spans="2:6" x14ac:dyDescent="0.25">
      <c r="B7" s="8" t="s">
        <v>215</v>
      </c>
      <c r="C7" s="30">
        <f>'Cash Flow - Входные данные'!C29</f>
        <v>8724</v>
      </c>
      <c r="D7" s="30">
        <f>'Cash Flow - Входные данные'!D29</f>
        <v>4544</v>
      </c>
      <c r="E7" s="53">
        <f>'Cash Flow - Входные данные'!E29</f>
        <v>3968</v>
      </c>
      <c r="F7" s="133"/>
    </row>
    <row r="8" spans="2:6" x14ac:dyDescent="0.25">
      <c r="B8" s="11" t="s">
        <v>216</v>
      </c>
      <c r="C8" s="31">
        <f>C7/C6</f>
        <v>2.5606105077781041</v>
      </c>
      <c r="D8" s="31">
        <f>D7/D6</f>
        <v>1.6159317211948792</v>
      </c>
      <c r="E8" s="56">
        <f>E7/E6</f>
        <v>2.1541802388707927</v>
      </c>
      <c r="F8" s="133"/>
    </row>
    <row r="10" spans="2:6" ht="21.75" customHeight="1" x14ac:dyDescent="0.25">
      <c r="B10" s="132" t="s">
        <v>218</v>
      </c>
      <c r="C10" s="132"/>
      <c r="D10" s="132"/>
      <c r="E10" s="132"/>
      <c r="F10" s="132"/>
    </row>
    <row r="11" spans="2:6" x14ac:dyDescent="0.25">
      <c r="B11" s="47" t="s">
        <v>98</v>
      </c>
      <c r="C11" s="47" t="s">
        <v>54</v>
      </c>
      <c r="D11" s="47" t="s">
        <v>55</v>
      </c>
      <c r="E11" s="47" t="s">
        <v>160</v>
      </c>
      <c r="F11" s="58" t="s">
        <v>82</v>
      </c>
    </row>
    <row r="12" spans="2:6" x14ac:dyDescent="0.25">
      <c r="B12" s="32" t="s">
        <v>219</v>
      </c>
      <c r="C12" s="30">
        <f>'Cash Flow - Входные данные'!C34</f>
        <v>-49</v>
      </c>
      <c r="D12" s="30">
        <f>'Cash Flow - Входные данные'!D34</f>
        <v>-49</v>
      </c>
      <c r="E12" s="53">
        <f>'Cash Flow - Входные данные'!E34</f>
        <v>-69</v>
      </c>
      <c r="F12" s="133" t="s">
        <v>221</v>
      </c>
    </row>
    <row r="13" spans="2:6" x14ac:dyDescent="0.25">
      <c r="B13" s="28" t="s">
        <v>220</v>
      </c>
      <c r="C13" s="29">
        <f>C7+C12</f>
        <v>8675</v>
      </c>
      <c r="D13" s="29">
        <f>D7+D12</f>
        <v>4495</v>
      </c>
      <c r="E13" s="54">
        <f>E7+E12</f>
        <v>3899</v>
      </c>
      <c r="F13" s="133"/>
    </row>
    <row r="14" spans="2:6" x14ac:dyDescent="0.25">
      <c r="B14" s="33" t="s">
        <v>222</v>
      </c>
      <c r="C14" s="34">
        <f>C13/C6</f>
        <v>2.5462283533900791</v>
      </c>
      <c r="D14" s="34">
        <f>D13/D6</f>
        <v>1.5985064011379801</v>
      </c>
      <c r="E14" s="55">
        <f>E13/E6</f>
        <v>2.1167209554831703</v>
      </c>
      <c r="F14" s="133"/>
    </row>
    <row r="16" spans="2:6" ht="21.75" customHeight="1" x14ac:dyDescent="0.25">
      <c r="B16" s="132" t="s">
        <v>223</v>
      </c>
      <c r="C16" s="132"/>
      <c r="D16" s="132"/>
      <c r="E16" s="132"/>
      <c r="F16" s="132"/>
    </row>
    <row r="17" spans="2:6" x14ac:dyDescent="0.25">
      <c r="B17" s="47" t="s">
        <v>98</v>
      </c>
      <c r="C17" s="47" t="s">
        <v>54</v>
      </c>
      <c r="D17" s="47" t="s">
        <v>55</v>
      </c>
      <c r="E17" s="47" t="s">
        <v>160</v>
      </c>
      <c r="F17" s="58" t="s">
        <v>82</v>
      </c>
    </row>
    <row r="18" spans="2:6" x14ac:dyDescent="0.25">
      <c r="B18" s="8" t="s">
        <v>224</v>
      </c>
      <c r="C18" s="30">
        <f>-'Cash Flow - Входные данные'!C39</f>
        <v>92</v>
      </c>
      <c r="D18" s="30">
        <f>-'Cash Flow - Входные данные'!D39</f>
        <v>42</v>
      </c>
      <c r="E18" s="53">
        <f>-'Cash Flow - Входные данные'!E39</f>
        <v>40</v>
      </c>
      <c r="F18" s="133" t="s">
        <v>229</v>
      </c>
    </row>
    <row r="19" spans="2:6" x14ac:dyDescent="0.25">
      <c r="B19" s="8" t="s">
        <v>225</v>
      </c>
      <c r="C19" s="30">
        <f>-'Cash Flow - Входные данные'!C40</f>
        <v>715</v>
      </c>
      <c r="D19" s="30">
        <f>-'Cash Flow - Входные данные'!D40</f>
        <v>556</v>
      </c>
      <c r="E19" s="53">
        <f>-'Cash Flow - Входные данные'!E40</f>
        <v>404</v>
      </c>
      <c r="F19" s="133"/>
    </row>
    <row r="20" spans="2:6" x14ac:dyDescent="0.25">
      <c r="B20" s="28" t="s">
        <v>226</v>
      </c>
      <c r="C20" s="29">
        <f>C18+C19</f>
        <v>807</v>
      </c>
      <c r="D20" s="29">
        <f>D18+D19</f>
        <v>598</v>
      </c>
      <c r="E20" s="54">
        <f>E18+E19</f>
        <v>444</v>
      </c>
      <c r="F20" s="133"/>
    </row>
    <row r="21" spans="2:6" x14ac:dyDescent="0.25">
      <c r="B21" s="33" t="s">
        <v>227</v>
      </c>
      <c r="C21" s="34">
        <f>C18/C20</f>
        <v>0.11400247831474597</v>
      </c>
      <c r="D21" s="34">
        <f>D18/D20</f>
        <v>7.0234113712374577E-2</v>
      </c>
      <c r="E21" s="55">
        <f>E18/E20</f>
        <v>9.0090090090090086E-2</v>
      </c>
      <c r="F21" s="133"/>
    </row>
    <row r="22" spans="2:6" x14ac:dyDescent="0.25">
      <c r="B22" s="33" t="s">
        <v>228</v>
      </c>
      <c r="C22" s="34">
        <f>C19/C20</f>
        <v>0.88599752168525403</v>
      </c>
      <c r="D22" s="34">
        <f>D19/D20</f>
        <v>0.92976588628762546</v>
      </c>
      <c r="E22" s="55">
        <f>E19/E20</f>
        <v>0.90990990990990994</v>
      </c>
      <c r="F22" s="133"/>
    </row>
    <row r="24" spans="2:6" ht="21.75" customHeight="1" x14ac:dyDescent="0.25">
      <c r="B24" s="132" t="s">
        <v>230</v>
      </c>
      <c r="C24" s="132"/>
      <c r="D24" s="132"/>
      <c r="E24" s="132"/>
      <c r="F24" s="132"/>
    </row>
    <row r="25" spans="2:6" x14ac:dyDescent="0.25">
      <c r="B25" s="47" t="s">
        <v>98</v>
      </c>
      <c r="C25" s="47" t="s">
        <v>54</v>
      </c>
      <c r="D25" s="47" t="s">
        <v>55</v>
      </c>
      <c r="E25" s="47" t="s">
        <v>160</v>
      </c>
      <c r="F25" s="58" t="s">
        <v>82</v>
      </c>
    </row>
    <row r="26" spans="2:6" x14ac:dyDescent="0.25">
      <c r="B26" s="35" t="s">
        <v>231</v>
      </c>
      <c r="C26" s="27">
        <v>755</v>
      </c>
      <c r="D26" s="27">
        <v>600</v>
      </c>
      <c r="E26" s="50">
        <v>380</v>
      </c>
      <c r="F26" s="133" t="s">
        <v>236</v>
      </c>
    </row>
    <row r="27" spans="2:6" ht="15" customHeight="1" x14ac:dyDescent="0.25">
      <c r="B27" s="35" t="s">
        <v>232</v>
      </c>
      <c r="C27" s="27">
        <v>2652</v>
      </c>
      <c r="D27" s="27">
        <v>2212</v>
      </c>
      <c r="E27" s="50">
        <v>1462</v>
      </c>
      <c r="F27" s="133"/>
    </row>
    <row r="28" spans="2:6" ht="26.25" x14ac:dyDescent="0.25">
      <c r="B28" s="28" t="s">
        <v>233</v>
      </c>
      <c r="C28" s="36">
        <f t="shared" ref="C28:E29" si="0">C18/C26</f>
        <v>0.12185430463576159</v>
      </c>
      <c r="D28" s="36">
        <f t="shared" si="0"/>
        <v>7.0000000000000007E-2</v>
      </c>
      <c r="E28" s="51">
        <f t="shared" si="0"/>
        <v>0.10526315789473684</v>
      </c>
      <c r="F28" s="133"/>
    </row>
    <row r="29" spans="2:6" x14ac:dyDescent="0.25">
      <c r="B29" s="28" t="s">
        <v>234</v>
      </c>
      <c r="C29" s="36">
        <f t="shared" si="0"/>
        <v>0.26960784313725489</v>
      </c>
      <c r="D29" s="36">
        <f t="shared" si="0"/>
        <v>0.25135623869801083</v>
      </c>
      <c r="E29" s="51">
        <f t="shared" si="0"/>
        <v>0.27633378932968539</v>
      </c>
      <c r="F29" s="133"/>
    </row>
    <row r="30" spans="2:6" x14ac:dyDescent="0.25">
      <c r="B30" s="37" t="s">
        <v>235</v>
      </c>
      <c r="C30" s="38">
        <f>(C29-C28)*100</f>
        <v>14.775353850149331</v>
      </c>
      <c r="D30" s="38">
        <f>(D29-D28)*100</f>
        <v>18.135623869801083</v>
      </c>
      <c r="E30" s="52">
        <f>(E29-E28)*100</f>
        <v>17.107063143494855</v>
      </c>
      <c r="F30" s="133"/>
    </row>
    <row r="31" spans="2:6" ht="36" customHeight="1" x14ac:dyDescent="0.25"/>
    <row r="32" spans="2:6" x14ac:dyDescent="0.25">
      <c r="B32" s="60" t="s">
        <v>237</v>
      </c>
      <c r="C32" s="48"/>
      <c r="D32" s="48"/>
      <c r="E32" s="48"/>
      <c r="F32" s="48"/>
    </row>
    <row r="33" spans="2:6" s="59" customFormat="1" ht="56.25" customHeight="1" x14ac:dyDescent="0.25">
      <c r="B33" s="136" t="s">
        <v>238</v>
      </c>
      <c r="C33" s="136"/>
      <c r="D33" s="136"/>
      <c r="E33" s="136"/>
      <c r="F33" s="136"/>
    </row>
    <row r="34" spans="2:6" ht="57" customHeight="1" x14ac:dyDescent="0.25">
      <c r="B34" s="136" t="s">
        <v>239</v>
      </c>
      <c r="C34" s="136"/>
      <c r="D34" s="136"/>
      <c r="E34" s="136"/>
      <c r="F34" s="136"/>
    </row>
    <row r="35" spans="2:6" ht="55.5" customHeight="1" x14ac:dyDescent="0.25">
      <c r="B35" s="134" t="s">
        <v>240</v>
      </c>
      <c r="C35" s="134"/>
      <c r="D35" s="134"/>
      <c r="E35" s="134"/>
      <c r="F35" s="134"/>
    </row>
    <row r="37" spans="2:6" ht="87.75" customHeight="1" x14ac:dyDescent="0.25">
      <c r="B37" s="135" t="s">
        <v>241</v>
      </c>
      <c r="C37" s="135"/>
      <c r="D37" s="135"/>
      <c r="E37" s="135"/>
      <c r="F37" s="135"/>
    </row>
  </sheetData>
  <mergeCells count="13">
    <mergeCell ref="B35:F35"/>
    <mergeCell ref="B37:F37"/>
    <mergeCell ref="F18:F22"/>
    <mergeCell ref="F12:F14"/>
    <mergeCell ref="F26:F30"/>
    <mergeCell ref="B34:F34"/>
    <mergeCell ref="B33:F33"/>
    <mergeCell ref="B24:F24"/>
    <mergeCell ref="B2:F2"/>
    <mergeCell ref="B4:F4"/>
    <mergeCell ref="B10:F10"/>
    <mergeCell ref="B16:F16"/>
    <mergeCell ref="F6:F8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08080"/>
  </sheetPr>
  <dimension ref="B2:E60"/>
  <sheetViews>
    <sheetView showGridLines="0" zoomScaleNormal="100" workbookViewId="0">
      <selection activeCell="K8" sqref="K8"/>
    </sheetView>
  </sheetViews>
  <sheetFormatPr defaultColWidth="8.7109375" defaultRowHeight="15" x14ac:dyDescent="0.25"/>
  <cols>
    <col min="1" max="1" width="3" customWidth="1"/>
    <col min="2" max="2" width="5" bestFit="1" customWidth="1"/>
    <col min="3" max="3" width="21.5703125" bestFit="1" customWidth="1"/>
    <col min="4" max="4" width="43.140625" bestFit="1" customWidth="1"/>
    <col min="5" max="5" width="16.5703125" bestFit="1" customWidth="1"/>
  </cols>
  <sheetData>
    <row r="2" spans="2:5" ht="18" x14ac:dyDescent="0.25">
      <c r="B2" s="107" t="s">
        <v>264</v>
      </c>
      <c r="C2" s="107"/>
      <c r="D2" s="107"/>
      <c r="E2" s="107"/>
    </row>
    <row r="4" spans="2:5" x14ac:dyDescent="0.25">
      <c r="B4" s="49" t="s">
        <v>242</v>
      </c>
      <c r="C4" s="49" t="s">
        <v>243</v>
      </c>
      <c r="D4" s="49" t="s">
        <v>14</v>
      </c>
      <c r="E4" s="49" t="s">
        <v>244</v>
      </c>
    </row>
    <row r="5" spans="2:5" x14ac:dyDescent="0.25">
      <c r="B5" s="8">
        <v>2024</v>
      </c>
      <c r="C5" s="8" t="s">
        <v>245</v>
      </c>
      <c r="D5" s="8" t="s">
        <v>18</v>
      </c>
      <c r="E5" s="30">
        <f>'Входные данные'!C3</f>
        <v>1697</v>
      </c>
    </row>
    <row r="6" spans="2:5" x14ac:dyDescent="0.25">
      <c r="B6" s="8">
        <v>2023</v>
      </c>
      <c r="C6" s="8" t="s">
        <v>245</v>
      </c>
      <c r="D6" s="8" t="s">
        <v>18</v>
      </c>
      <c r="E6" s="30">
        <f>'Входные данные'!D3</f>
        <v>1360</v>
      </c>
    </row>
    <row r="7" spans="2:5" x14ac:dyDescent="0.25">
      <c r="B7" s="8">
        <v>2024</v>
      </c>
      <c r="C7" s="8" t="s">
        <v>245</v>
      </c>
      <c r="D7" s="8" t="s">
        <v>20</v>
      </c>
      <c r="E7" s="30">
        <f>'Входные данные'!C4</f>
        <v>280</v>
      </c>
    </row>
    <row r="8" spans="2:5" x14ac:dyDescent="0.25">
      <c r="B8" s="8">
        <v>2023</v>
      </c>
      <c r="C8" s="8" t="s">
        <v>245</v>
      </c>
      <c r="D8" s="8" t="s">
        <v>20</v>
      </c>
      <c r="E8" s="30">
        <f>'Входные данные'!D4</f>
        <v>197</v>
      </c>
    </row>
    <row r="9" spans="2:5" x14ac:dyDescent="0.25">
      <c r="B9" s="8">
        <v>2024</v>
      </c>
      <c r="C9" s="8" t="s">
        <v>245</v>
      </c>
      <c r="D9" s="8" t="s">
        <v>22</v>
      </c>
      <c r="E9" s="30">
        <f>'Входные данные'!C6</f>
        <v>2037</v>
      </c>
    </row>
    <row r="10" spans="2:5" x14ac:dyDescent="0.25">
      <c r="B10" s="8">
        <v>2023</v>
      </c>
      <c r="C10" s="8" t="s">
        <v>245</v>
      </c>
      <c r="D10" s="8" t="s">
        <v>22</v>
      </c>
      <c r="E10" s="30">
        <f>'Входные данные'!D6</f>
        <v>1546</v>
      </c>
    </row>
    <row r="11" spans="2:5" x14ac:dyDescent="0.25">
      <c r="B11" s="8">
        <v>2024</v>
      </c>
      <c r="C11" s="8" t="s">
        <v>245</v>
      </c>
      <c r="D11" s="8" t="s">
        <v>25</v>
      </c>
      <c r="E11" s="30">
        <f>'Входные данные'!C9</f>
        <v>3148</v>
      </c>
    </row>
    <row r="12" spans="2:5" x14ac:dyDescent="0.25">
      <c r="B12" s="8">
        <v>2023</v>
      </c>
      <c r="C12" s="8" t="s">
        <v>245</v>
      </c>
      <c r="D12" s="8" t="s">
        <v>25</v>
      </c>
      <c r="E12" s="30">
        <f>'Входные данные'!D9</f>
        <v>2794</v>
      </c>
    </row>
    <row r="13" spans="2:5" x14ac:dyDescent="0.25">
      <c r="B13" s="8">
        <v>2024</v>
      </c>
      <c r="C13" s="8" t="s">
        <v>245</v>
      </c>
      <c r="D13" s="8" t="s">
        <v>26</v>
      </c>
      <c r="E13" s="30">
        <f>'Входные данные'!C10</f>
        <v>5185</v>
      </c>
    </row>
    <row r="14" spans="2:5" x14ac:dyDescent="0.25">
      <c r="B14" s="8">
        <v>2023</v>
      </c>
      <c r="C14" s="8" t="s">
        <v>245</v>
      </c>
      <c r="D14" s="8" t="s">
        <v>26</v>
      </c>
      <c r="E14" s="30">
        <f>'Входные данные'!D10</f>
        <v>4340</v>
      </c>
    </row>
    <row r="15" spans="2:5" x14ac:dyDescent="0.25">
      <c r="B15" s="8">
        <v>2024</v>
      </c>
      <c r="C15" s="8" t="s">
        <v>245</v>
      </c>
      <c r="D15" s="8" t="s">
        <v>33</v>
      </c>
      <c r="E15" s="30">
        <f>'Входные данные'!C17</f>
        <v>1490</v>
      </c>
    </row>
    <row r="16" spans="2:5" x14ac:dyDescent="0.25">
      <c r="B16" s="8">
        <v>2023</v>
      </c>
      <c r="C16" s="8" t="s">
        <v>245</v>
      </c>
      <c r="D16" s="8" t="s">
        <v>33</v>
      </c>
      <c r="E16" s="30">
        <f>'Входные данные'!D17</f>
        <v>1271</v>
      </c>
    </row>
    <row r="17" spans="2:5" x14ac:dyDescent="0.25">
      <c r="B17" s="8">
        <v>2024</v>
      </c>
      <c r="C17" s="8" t="s">
        <v>245</v>
      </c>
      <c r="D17" s="8" t="s">
        <v>34</v>
      </c>
      <c r="E17" s="30">
        <f>'Входные данные'!C18</f>
        <v>3695</v>
      </c>
    </row>
    <row r="18" spans="2:5" x14ac:dyDescent="0.25">
      <c r="B18" s="8">
        <v>2023</v>
      </c>
      <c r="C18" s="8" t="s">
        <v>245</v>
      </c>
      <c r="D18" s="8" t="s">
        <v>34</v>
      </c>
      <c r="E18" s="30">
        <f>'Входные данные'!D18</f>
        <v>3069</v>
      </c>
    </row>
    <row r="19" spans="2:5" x14ac:dyDescent="0.25">
      <c r="B19" s="8">
        <v>2024</v>
      </c>
      <c r="C19" s="8" t="s">
        <v>245</v>
      </c>
      <c r="D19" s="8" t="s">
        <v>36</v>
      </c>
      <c r="E19" s="30">
        <f>'Входные данные'!C20</f>
        <v>3407</v>
      </c>
    </row>
    <row r="20" spans="2:5" x14ac:dyDescent="0.25">
      <c r="B20" s="8">
        <v>2023</v>
      </c>
      <c r="C20" s="8" t="s">
        <v>245</v>
      </c>
      <c r="D20" s="8" t="s">
        <v>36</v>
      </c>
      <c r="E20" s="30">
        <f>'Входные данные'!D20</f>
        <v>2812</v>
      </c>
    </row>
    <row r="21" spans="2:5" x14ac:dyDescent="0.25">
      <c r="B21" s="8">
        <v>2024</v>
      </c>
      <c r="C21" s="8" t="s">
        <v>245</v>
      </c>
      <c r="D21" s="8" t="s">
        <v>37</v>
      </c>
      <c r="E21" s="30">
        <f>'Входные данные'!C21</f>
        <v>2652</v>
      </c>
    </row>
    <row r="22" spans="2:5" x14ac:dyDescent="0.25">
      <c r="B22" s="8">
        <v>2023</v>
      </c>
      <c r="C22" s="8" t="s">
        <v>245</v>
      </c>
      <c r="D22" s="8" t="s">
        <v>37</v>
      </c>
      <c r="E22" s="30">
        <f>'Входные данные'!D21</f>
        <v>2212</v>
      </c>
    </row>
    <row r="23" spans="2:5" x14ac:dyDescent="0.25">
      <c r="B23" s="8">
        <v>2024</v>
      </c>
      <c r="C23" s="8" t="s">
        <v>245</v>
      </c>
      <c r="D23" s="8" t="s">
        <v>38</v>
      </c>
      <c r="E23" s="30">
        <f>'Входные данные'!C22</f>
        <v>755</v>
      </c>
    </row>
    <row r="24" spans="2:5" x14ac:dyDescent="0.25">
      <c r="B24" s="8">
        <v>2023</v>
      </c>
      <c r="C24" s="8" t="s">
        <v>245</v>
      </c>
      <c r="D24" s="8" t="s">
        <v>38</v>
      </c>
      <c r="E24" s="30">
        <f>'Входные данные'!D22</f>
        <v>600</v>
      </c>
    </row>
    <row r="25" spans="2:5" x14ac:dyDescent="0.25">
      <c r="B25" s="8">
        <v>2024</v>
      </c>
      <c r="C25" s="8" t="s">
        <v>246</v>
      </c>
      <c r="D25" s="8" t="s">
        <v>45</v>
      </c>
      <c r="E25" s="30">
        <f>'Входные данные'!C29</f>
        <v>150518</v>
      </c>
    </row>
    <row r="26" spans="2:5" x14ac:dyDescent="0.25">
      <c r="B26" s="8">
        <v>2023</v>
      </c>
      <c r="C26" s="8" t="s">
        <v>246</v>
      </c>
      <c r="D26" s="8" t="s">
        <v>45</v>
      </c>
      <c r="E26" s="30">
        <f>'Входные данные'!D29</f>
        <v>128423</v>
      </c>
    </row>
    <row r="27" spans="2:5" x14ac:dyDescent="0.25">
      <c r="B27" s="8">
        <v>2024</v>
      </c>
      <c r="C27" s="8" t="s">
        <v>246</v>
      </c>
      <c r="D27" s="8" t="s">
        <v>49</v>
      </c>
      <c r="E27" s="30">
        <f>'Входные данные'!C32</f>
        <v>133921</v>
      </c>
    </row>
    <row r="28" spans="2:5" x14ac:dyDescent="0.25">
      <c r="B28" s="8">
        <v>2023</v>
      </c>
      <c r="C28" s="8" t="s">
        <v>246</v>
      </c>
      <c r="D28" s="8" t="s">
        <v>49</v>
      </c>
      <c r="E28" s="30">
        <f>'Входные данные'!D32</f>
        <v>114356</v>
      </c>
    </row>
    <row r="29" spans="2:5" x14ac:dyDescent="0.25">
      <c r="B29" s="8">
        <v>2024</v>
      </c>
      <c r="C29" s="8" t="s">
        <v>246</v>
      </c>
      <c r="D29" s="8" t="s">
        <v>50</v>
      </c>
      <c r="E29" s="30">
        <f>'Входные данные'!C33</f>
        <v>4280</v>
      </c>
    </row>
    <row r="30" spans="2:5" x14ac:dyDescent="0.25">
      <c r="B30" s="8">
        <v>2023</v>
      </c>
      <c r="C30" s="8" t="s">
        <v>246</v>
      </c>
      <c r="D30" s="8" t="s">
        <v>50</v>
      </c>
      <c r="E30" s="30">
        <f>'Входные данные'!D33</f>
        <v>3584</v>
      </c>
    </row>
    <row r="31" spans="2:5" x14ac:dyDescent="0.25">
      <c r="B31" s="8">
        <v>2024</v>
      </c>
      <c r="C31" s="8" t="s">
        <v>246</v>
      </c>
      <c r="D31" s="8" t="s">
        <v>51</v>
      </c>
      <c r="E31" s="30">
        <f>'Входные данные'!C34</f>
        <v>12317</v>
      </c>
    </row>
    <row r="32" spans="2:5" x14ac:dyDescent="0.25">
      <c r="B32" s="8">
        <v>2023</v>
      </c>
      <c r="C32" s="8" t="s">
        <v>246</v>
      </c>
      <c r="D32" s="8" t="s">
        <v>51</v>
      </c>
      <c r="E32" s="30">
        <f>'Входные данные'!D34</f>
        <v>10483</v>
      </c>
    </row>
    <row r="33" spans="2:5" x14ac:dyDescent="0.25">
      <c r="B33" s="8">
        <v>2024</v>
      </c>
      <c r="C33" s="8" t="s">
        <v>246</v>
      </c>
      <c r="D33" s="8" t="s">
        <v>52</v>
      </c>
      <c r="E33" s="30">
        <f>'Входные данные'!C35</f>
        <v>16597</v>
      </c>
    </row>
    <row r="34" spans="2:5" x14ac:dyDescent="0.25">
      <c r="B34" s="8">
        <v>2023</v>
      </c>
      <c r="C34" s="8" t="s">
        <v>246</v>
      </c>
      <c r="D34" s="8" t="s">
        <v>52</v>
      </c>
      <c r="E34" s="30">
        <f>'Входные данные'!D35</f>
        <v>14067</v>
      </c>
    </row>
    <row r="35" spans="2:5" x14ac:dyDescent="0.25">
      <c r="B35" s="8">
        <v>2024</v>
      </c>
      <c r="C35" s="8" t="s">
        <v>247</v>
      </c>
      <c r="D35" s="8" t="s">
        <v>60</v>
      </c>
      <c r="E35" s="30">
        <f>'Входные данные'!C44</f>
        <v>3337</v>
      </c>
    </row>
    <row r="36" spans="2:5" x14ac:dyDescent="0.25">
      <c r="B36" s="8">
        <v>2023</v>
      </c>
      <c r="C36" s="8" t="s">
        <v>247</v>
      </c>
      <c r="D36" s="8" t="s">
        <v>60</v>
      </c>
      <c r="E36" s="30">
        <f>'Входные данные'!D44</f>
        <v>2562</v>
      </c>
    </row>
    <row r="37" spans="2:5" x14ac:dyDescent="0.25">
      <c r="B37" s="8">
        <v>2024</v>
      </c>
      <c r="C37" s="8" t="s">
        <v>247</v>
      </c>
      <c r="D37" s="8" t="s">
        <v>62</v>
      </c>
      <c r="E37" s="30">
        <f>'Входные данные'!C45</f>
        <v>568.20000000000005</v>
      </c>
    </row>
    <row r="38" spans="2:5" x14ac:dyDescent="0.25">
      <c r="B38" s="8">
        <v>2023</v>
      </c>
      <c r="C38" s="8" t="s">
        <v>247</v>
      </c>
      <c r="D38" s="8" t="s">
        <v>62</v>
      </c>
      <c r="E38" s="30">
        <f>'Входные данные'!D45</f>
        <v>426</v>
      </c>
    </row>
    <row r="39" spans="2:5" x14ac:dyDescent="0.25">
      <c r="B39" s="8">
        <v>2024</v>
      </c>
      <c r="C39" s="8" t="s">
        <v>247</v>
      </c>
      <c r="D39" s="8" t="s">
        <v>63</v>
      </c>
      <c r="E39" s="30">
        <f>'Входные данные'!C46</f>
        <v>3118</v>
      </c>
    </row>
    <row r="40" spans="2:5" x14ac:dyDescent="0.25">
      <c r="B40" s="8">
        <v>2023</v>
      </c>
      <c r="C40" s="8" t="s">
        <v>247</v>
      </c>
      <c r="D40" s="8" t="s">
        <v>63</v>
      </c>
      <c r="E40" s="30">
        <f>'Входные данные'!D46</f>
        <v>1934</v>
      </c>
    </row>
    <row r="41" spans="2:5" x14ac:dyDescent="0.25">
      <c r="B41" s="8">
        <v>2024</v>
      </c>
      <c r="C41" s="8" t="s">
        <v>247</v>
      </c>
      <c r="D41" s="8" t="s">
        <v>65</v>
      </c>
      <c r="E41" s="30">
        <f>'Входные данные'!C48</f>
        <v>64.2</v>
      </c>
    </row>
    <row r="42" spans="2:5" x14ac:dyDescent="0.25">
      <c r="B42" s="8">
        <v>2023</v>
      </c>
      <c r="C42" s="8" t="s">
        <v>247</v>
      </c>
      <c r="D42" s="8" t="s">
        <v>65</v>
      </c>
      <c r="E42" s="30">
        <f>'Входные данные'!D48</f>
        <v>44.3</v>
      </c>
    </row>
    <row r="43" spans="2:5" x14ac:dyDescent="0.25">
      <c r="B43" s="8">
        <v>2024</v>
      </c>
      <c r="C43" s="8" t="s">
        <v>248</v>
      </c>
      <c r="D43" s="8" t="s">
        <v>36</v>
      </c>
      <c r="E43" s="30">
        <f>'Cash Flow - Входные данные'!C6</f>
        <v>3407</v>
      </c>
    </row>
    <row r="44" spans="2:5" x14ac:dyDescent="0.25">
      <c r="B44" s="8">
        <v>2023</v>
      </c>
      <c r="C44" s="8" t="s">
        <v>248</v>
      </c>
      <c r="D44" s="8" t="s">
        <v>36</v>
      </c>
      <c r="E44" s="30">
        <f>'Cash Flow - Входные данные'!D6</f>
        <v>2812</v>
      </c>
    </row>
    <row r="45" spans="2:5" x14ac:dyDescent="0.25">
      <c r="B45" s="8">
        <v>2022</v>
      </c>
      <c r="C45" s="8" t="s">
        <v>248</v>
      </c>
      <c r="D45" s="8" t="s">
        <v>36</v>
      </c>
      <c r="E45" s="30">
        <f>'Cash Flow - Входные данные'!E6</f>
        <v>1842</v>
      </c>
    </row>
    <row r="46" spans="2:5" x14ac:dyDescent="0.25">
      <c r="B46" s="8">
        <v>2024</v>
      </c>
      <c r="C46" s="8" t="s">
        <v>248</v>
      </c>
      <c r="D46" s="8" t="s">
        <v>184</v>
      </c>
      <c r="E46" s="30">
        <f>'Cash Flow - Входные данные'!C29</f>
        <v>8724</v>
      </c>
    </row>
    <row r="47" spans="2:5" x14ac:dyDescent="0.25">
      <c r="B47" s="8">
        <v>2023</v>
      </c>
      <c r="C47" s="8" t="s">
        <v>248</v>
      </c>
      <c r="D47" s="8" t="s">
        <v>184</v>
      </c>
      <c r="E47" s="30">
        <f>'Cash Flow - Входные данные'!D29</f>
        <v>4544</v>
      </c>
    </row>
    <row r="48" spans="2:5" x14ac:dyDescent="0.25">
      <c r="B48" s="8">
        <v>2022</v>
      </c>
      <c r="C48" s="8" t="s">
        <v>248</v>
      </c>
      <c r="D48" s="8" t="s">
        <v>184</v>
      </c>
      <c r="E48" s="30">
        <f>'Cash Flow - Входные данные'!E29</f>
        <v>3968</v>
      </c>
    </row>
    <row r="49" spans="2:5" x14ac:dyDescent="0.25">
      <c r="B49" s="8">
        <v>2024</v>
      </c>
      <c r="C49" s="8" t="s">
        <v>248</v>
      </c>
      <c r="D49" s="8" t="s">
        <v>189</v>
      </c>
      <c r="E49" s="30">
        <f>'Cash Flow - Входные данные'!C35</f>
        <v>-44</v>
      </c>
    </row>
    <row r="50" spans="2:5" x14ac:dyDescent="0.25">
      <c r="B50" s="8">
        <v>2023</v>
      </c>
      <c r="C50" s="8" t="s">
        <v>248</v>
      </c>
      <c r="D50" s="8" t="s">
        <v>189</v>
      </c>
      <c r="E50" s="30">
        <f>'Cash Flow - Входные данные'!D35</f>
        <v>-52</v>
      </c>
    </row>
    <row r="51" spans="2:5" x14ac:dyDescent="0.25">
      <c r="B51" s="8">
        <v>2022</v>
      </c>
      <c r="C51" s="8" t="s">
        <v>248</v>
      </c>
      <c r="D51" s="8" t="s">
        <v>189</v>
      </c>
      <c r="E51" s="30">
        <f>'Cash Flow - Входные данные'!E35</f>
        <v>-67</v>
      </c>
    </row>
    <row r="52" spans="2:5" x14ac:dyDescent="0.25">
      <c r="B52" s="8">
        <v>2024</v>
      </c>
      <c r="C52" s="8" t="s">
        <v>248</v>
      </c>
      <c r="D52" s="8" t="s">
        <v>197</v>
      </c>
      <c r="E52" s="30">
        <f>'Cash Flow - Входные данные'!C44</f>
        <v>-833</v>
      </c>
    </row>
    <row r="53" spans="2:5" x14ac:dyDescent="0.25">
      <c r="B53" s="8">
        <v>2023</v>
      </c>
      <c r="C53" s="8" t="s">
        <v>248</v>
      </c>
      <c r="D53" s="8" t="s">
        <v>197</v>
      </c>
      <c r="E53" s="30">
        <f>'Cash Flow - Входные данные'!D44</f>
        <v>-624</v>
      </c>
    </row>
    <row r="54" spans="2:5" x14ac:dyDescent="0.25">
      <c r="B54" s="8">
        <v>2022</v>
      </c>
      <c r="C54" s="8" t="s">
        <v>248</v>
      </c>
      <c r="D54" s="8" t="s">
        <v>197</v>
      </c>
      <c r="E54" s="30">
        <f>'Cash Flow - Входные данные'!E44</f>
        <v>-470</v>
      </c>
    </row>
    <row r="55" spans="2:5" x14ac:dyDescent="0.25">
      <c r="B55" s="8">
        <v>2024</v>
      </c>
      <c r="C55" s="8" t="s">
        <v>248</v>
      </c>
      <c r="D55" s="8" t="s">
        <v>192</v>
      </c>
      <c r="E55" s="30">
        <f>'Cash Flow - Входные данные'!C39</f>
        <v>-92</v>
      </c>
    </row>
    <row r="56" spans="2:5" x14ac:dyDescent="0.25">
      <c r="B56" s="8">
        <v>2023</v>
      </c>
      <c r="C56" s="8" t="s">
        <v>248</v>
      </c>
      <c r="D56" s="8" t="s">
        <v>192</v>
      </c>
      <c r="E56" s="30">
        <f>'Cash Flow - Входные данные'!D39</f>
        <v>-42</v>
      </c>
    </row>
    <row r="57" spans="2:5" x14ac:dyDescent="0.25">
      <c r="B57" s="8">
        <v>2022</v>
      </c>
      <c r="C57" s="8" t="s">
        <v>248</v>
      </c>
      <c r="D57" s="8" t="s">
        <v>192</v>
      </c>
      <c r="E57" s="30">
        <f>'Cash Flow - Входные данные'!E39</f>
        <v>-40</v>
      </c>
    </row>
    <row r="58" spans="2:5" x14ac:dyDescent="0.25">
      <c r="B58" s="8">
        <v>2024</v>
      </c>
      <c r="C58" s="8" t="s">
        <v>248</v>
      </c>
      <c r="D58" s="8" t="s">
        <v>193</v>
      </c>
      <c r="E58" s="30">
        <f>'Cash Flow - Входные данные'!C40</f>
        <v>-715</v>
      </c>
    </row>
    <row r="59" spans="2:5" x14ac:dyDescent="0.25">
      <c r="B59" s="8">
        <v>2023</v>
      </c>
      <c r="C59" s="8" t="s">
        <v>248</v>
      </c>
      <c r="D59" s="8" t="s">
        <v>193</v>
      </c>
      <c r="E59" s="30">
        <f>'Cash Flow - Входные данные'!D40</f>
        <v>-556</v>
      </c>
    </row>
    <row r="60" spans="2:5" x14ac:dyDescent="0.25">
      <c r="B60" s="8">
        <v>2022</v>
      </c>
      <c r="C60" s="8" t="s">
        <v>248</v>
      </c>
      <c r="D60" s="8" t="s">
        <v>193</v>
      </c>
      <c r="E60" s="30">
        <f>'Cash Flow - Входные данные'!E40</f>
        <v>-404</v>
      </c>
    </row>
  </sheetData>
  <mergeCells count="1">
    <mergeCell ref="B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595959"/>
  </sheetPr>
  <dimension ref="B2:F19"/>
  <sheetViews>
    <sheetView showGridLines="0" zoomScaleNormal="100" workbookViewId="0">
      <selection activeCell="C4" sqref="C4:D4"/>
    </sheetView>
  </sheetViews>
  <sheetFormatPr defaultColWidth="8.7109375" defaultRowHeight="15" x14ac:dyDescent="0.25"/>
  <cols>
    <col min="1" max="1" width="3" customWidth="1"/>
    <col min="2" max="2" width="30" customWidth="1"/>
    <col min="3" max="3" width="16.140625" customWidth="1"/>
    <col min="4" max="5" width="16" customWidth="1"/>
    <col min="6" max="6" width="40" customWidth="1"/>
  </cols>
  <sheetData>
    <row r="2" spans="2:6" ht="18" x14ac:dyDescent="0.25">
      <c r="B2" s="107" t="s">
        <v>263</v>
      </c>
      <c r="C2" s="107"/>
      <c r="D2" s="107"/>
      <c r="E2" s="107"/>
      <c r="F2" s="107"/>
    </row>
    <row r="4" spans="2:6" x14ac:dyDescent="0.25">
      <c r="B4" s="39" t="s">
        <v>249</v>
      </c>
      <c r="C4" s="137" t="s">
        <v>245</v>
      </c>
      <c r="D4" s="138"/>
    </row>
    <row r="6" spans="2:6" ht="21.75" customHeight="1" x14ac:dyDescent="0.25">
      <c r="B6" s="132" t="s">
        <v>250</v>
      </c>
      <c r="C6" s="132"/>
      <c r="D6" s="132"/>
      <c r="E6" s="132"/>
      <c r="F6" s="132"/>
    </row>
    <row r="7" spans="2:6" x14ac:dyDescent="0.25">
      <c r="B7" s="47" t="s">
        <v>14</v>
      </c>
      <c r="C7" s="47" t="s">
        <v>54</v>
      </c>
      <c r="D7" s="47" t="s">
        <v>55</v>
      </c>
      <c r="E7" s="47" t="s">
        <v>160</v>
      </c>
      <c r="F7" s="47" t="s">
        <v>251</v>
      </c>
    </row>
    <row r="8" spans="2:6" x14ac:dyDescent="0.25">
      <c r="B8" s="33" t="str">
        <f>IF($C$4="P&amp;L","Commissions",IF($C$4="Баланс","Total assets",IF($C$4="Операционные метрики","Customer accounts, тыс. (на конец года)","Net income")))</f>
        <v>Commissions</v>
      </c>
      <c r="C8" s="40">
        <f>IF($B8="","",IFERROR(SUMIFS('Данные (плоская таблица)'!$E$5:$E$60,'Данные (плоская таблица)'!$C$5:$C$60,$C$4,'Данные (плоская таблица)'!$D$5:$D$60,$B8,'Данные (плоская таблица)'!$B$5:$B$60,2024),""))</f>
        <v>1697</v>
      </c>
      <c r="D8" s="40">
        <f>IF($B8="","",IFERROR(SUMIFS('Данные (плоская таблица)'!$E$5:$E$60,'Данные (плоская таблица)'!$C$5:$C$60,$C$4,'Данные (плоская таблица)'!$D$5:$D$60,$B8,'Данные (плоская таблица)'!$B$5:$B$60,2023),""))</f>
        <v>1360</v>
      </c>
      <c r="E8" s="40">
        <f>IF($B8="","",IFERROR(SUMIFS('Данные (плоская таблица)'!$E$5:$E$60,'Данные (плоская таблица)'!$C$5:$C$60,$C$4,'Данные (плоская таблица)'!$D$5:$D$60,$B8,'Данные (плоская таблица)'!$B$5:$B$60,2022),""))</f>
        <v>0</v>
      </c>
      <c r="F8" s="34">
        <f t="shared" ref="F8:F17" si="0">IF($B8="","",IFERROR((C8-D8)/ABS(D8),""))</f>
        <v>0.24779411764705883</v>
      </c>
    </row>
    <row r="9" spans="2:6" x14ac:dyDescent="0.25">
      <c r="B9" s="33" t="str">
        <f>IF($C$4="P&amp;L","Other fees and services",IF($C$4="Баланс","Total liabilities",IF($C$4="Операционные метрики","Customer equity, $ млрд (на конец года)","Net cash provided by operating activities")))</f>
        <v>Other fees and services</v>
      </c>
      <c r="C9" s="40">
        <f>IF($B9="","",IFERROR(SUMIFS('Данные (плоская таблица)'!$E$5:$E$60,'Данные (плоская таблица)'!$C$5:$C$60,$C$4,'Данные (плоская таблица)'!$D$5:$D$60,$B9,'Данные (плоская таблица)'!$B$5:$B$60,2024),""))</f>
        <v>280</v>
      </c>
      <c r="D9" s="40">
        <f>IF($B9="","",IFERROR(SUMIFS('Данные (плоская таблица)'!$E$5:$E$60,'Данные (плоская таблица)'!$C$5:$C$60,$C$4,'Данные (плоская таблица)'!$D$5:$D$60,$B9,'Данные (плоская таблица)'!$B$5:$B$60,2023),""))</f>
        <v>197</v>
      </c>
      <c r="E9" s="40">
        <f>IF($B9="","",IFERROR(SUMIFS('Данные (плоская таблица)'!$E$5:$E$60,'Данные (плоская таблица)'!$C$5:$C$60,$C$4,'Данные (плоская таблица)'!$D$5:$D$60,$B9,'Данные (плоская таблица)'!$B$5:$B$60,2022),""))</f>
        <v>0</v>
      </c>
      <c r="F9" s="34">
        <f t="shared" si="0"/>
        <v>0.42131979695431471</v>
      </c>
    </row>
    <row r="10" spans="2:6" x14ac:dyDescent="0.25">
      <c r="B10" s="33" t="str">
        <f>IF($C$4="P&amp;L","Total non-interest income",IF($C$4="Баланс","Stockholders' equity (IBG, Inc.)",IF($C$4="Операционные метрики","Total customer DARTs, тыс. (среднее в Q4)","Net cash used in investing activities")))</f>
        <v>Total non-interest income</v>
      </c>
      <c r="C10" s="40">
        <f>IF($B10="","",IFERROR(SUMIFS('Данные (плоская таблица)'!$E$5:$E$60,'Данные (плоская таблица)'!$C$5:$C$60,$C$4,'Данные (плоская таблица)'!$D$5:$D$60,$B10,'Данные (плоская таблица)'!$B$5:$B$60,2024),""))</f>
        <v>2037</v>
      </c>
      <c r="D10" s="40">
        <f>IF($B10="","",IFERROR(SUMIFS('Данные (плоская таблица)'!$E$5:$E$60,'Данные (плоская таблица)'!$C$5:$C$60,$C$4,'Данные (плоская таблица)'!$D$5:$D$60,$B10,'Данные (плоская таблица)'!$B$5:$B$60,2023),""))</f>
        <v>1546</v>
      </c>
      <c r="E10" s="40">
        <f>IF($B10="","",IFERROR(SUMIFS('Данные (плоская таблица)'!$E$5:$E$60,'Данные (плоская таблица)'!$C$5:$C$60,$C$4,'Данные (плоская таблица)'!$D$5:$D$60,$B10,'Данные (плоская таблица)'!$B$5:$B$60,2022),""))</f>
        <v>0</v>
      </c>
      <c r="F10" s="34">
        <f t="shared" si="0"/>
        <v>0.31759379042690816</v>
      </c>
    </row>
    <row r="11" spans="2:6" x14ac:dyDescent="0.25">
      <c r="B11" s="33" t="str">
        <f>IF($C$4="P&amp;L","Total net interest income",IF($C$4="Баланс","Noncontrolling interests",IF($C$4="Операционные метрики","Customer margin loans, $ млрд (на конец года)","Net cash used in financing activities")))</f>
        <v>Total net interest income</v>
      </c>
      <c r="C11" s="40">
        <f>IF($B11="","",IFERROR(SUMIFS('Данные (плоская таблица)'!$E$5:$E$60,'Данные (плоская таблица)'!$C$5:$C$60,$C$4,'Данные (плоская таблица)'!$D$5:$D$60,$B11,'Данные (плоская таблица)'!$B$5:$B$60,2024),""))</f>
        <v>3148</v>
      </c>
      <c r="D11" s="40">
        <f>IF($B11="","",IFERROR(SUMIFS('Данные (плоская таблица)'!$E$5:$E$60,'Данные (плоская таблица)'!$C$5:$C$60,$C$4,'Данные (плоская таблица)'!$D$5:$D$60,$B11,'Данные (плоская таблица)'!$B$5:$B$60,2023),""))</f>
        <v>2794</v>
      </c>
      <c r="E11" s="40">
        <f>IF($B11="","",IFERROR(SUMIFS('Данные (плоская таблица)'!$E$5:$E$60,'Данные (плоская таблица)'!$C$5:$C$60,$C$4,'Данные (плоская таблица)'!$D$5:$D$60,$B11,'Данные (плоская таблица)'!$B$5:$B$60,2022),""))</f>
        <v>0</v>
      </c>
      <c r="F11" s="34">
        <f t="shared" si="0"/>
        <v>0.12670007158196134</v>
      </c>
    </row>
    <row r="12" spans="2:6" x14ac:dyDescent="0.25">
      <c r="B12" s="33" t="str">
        <f>IF($C$4="P&amp;L","Total net revenues",IF($C$4="Баланс","Total equity",IF($C$4="Операционные метрики","","Dividends paid to stockholders")))</f>
        <v>Total net revenues</v>
      </c>
      <c r="C12" s="40">
        <f>IF($B12="","",IFERROR(SUMIFS('Данные (плоская таблица)'!$E$5:$E$60,'Данные (плоская таблица)'!$C$5:$C$60,$C$4,'Данные (плоская таблица)'!$D$5:$D$60,$B12,'Данные (плоская таблица)'!$B$5:$B$60,2024),""))</f>
        <v>5185</v>
      </c>
      <c r="D12" s="40">
        <f>IF($B12="","",IFERROR(SUMIFS('Данные (плоская таблица)'!$E$5:$E$60,'Данные (плоская таблица)'!$C$5:$C$60,$C$4,'Данные (плоская таблица)'!$D$5:$D$60,$B12,'Данные (плоская таблица)'!$B$5:$B$60,2023),""))</f>
        <v>4340</v>
      </c>
      <c r="E12" s="40">
        <f>IF($B12="","",IFERROR(SUMIFS('Данные (плоская таблица)'!$E$5:$E$60,'Данные (плоская таблица)'!$C$5:$C$60,$C$4,'Данные (плоская таблица)'!$D$5:$D$60,$B12,'Данные (плоская таблица)'!$B$5:$B$60,2022),""))</f>
        <v>0</v>
      </c>
      <c r="F12" s="34">
        <f t="shared" si="0"/>
        <v>0.19470046082949308</v>
      </c>
    </row>
    <row r="13" spans="2:6" x14ac:dyDescent="0.25">
      <c r="B13" s="33" t="str">
        <f>IF($C$4="P&amp;L","Total non-interest expenses",IF($C$4="Баланс","",IF($C$4="Операционные метрики","","Distributions to noncontrolling interests")))</f>
        <v>Total non-interest expenses</v>
      </c>
      <c r="C13" s="40">
        <f>IF($B13="","",IFERROR(SUMIFS('Данные (плоская таблица)'!$E$5:$E$60,'Данные (плоская таблица)'!$C$5:$C$60,$C$4,'Данные (плоская таблица)'!$D$5:$D$60,$B13,'Данные (плоская таблица)'!$B$5:$B$60,2024),""))</f>
        <v>1490</v>
      </c>
      <c r="D13" s="40">
        <f>IF($B13="","",IFERROR(SUMIFS('Данные (плоская таблица)'!$E$5:$E$60,'Данные (плоская таблица)'!$C$5:$C$60,$C$4,'Данные (плоская таблица)'!$D$5:$D$60,$B13,'Данные (плоская таблица)'!$B$5:$B$60,2023),""))</f>
        <v>1271</v>
      </c>
      <c r="E13" s="40">
        <f>IF($B13="","",IFERROR(SUMIFS('Данные (плоская таблица)'!$E$5:$E$60,'Данные (плоская таблица)'!$C$5:$C$60,$C$4,'Данные (плоская таблица)'!$D$5:$D$60,$B13,'Данные (плоская таблица)'!$B$5:$B$60,2022),""))</f>
        <v>0</v>
      </c>
      <c r="F13" s="34">
        <f t="shared" si="0"/>
        <v>0.17230527143981117</v>
      </c>
    </row>
    <row r="14" spans="2:6" x14ac:dyDescent="0.25">
      <c r="B14" s="33" t="str">
        <f>IF($C$4="P&amp;L","Income before income taxes",IF($C$4="Баланс","",IF($C$4="Операционные метрики","","")))</f>
        <v>Income before income taxes</v>
      </c>
      <c r="C14" s="40">
        <f>IF($B14="","",IFERROR(SUMIFS('Данные (плоская таблица)'!$E$5:$E$60,'Данные (плоская таблица)'!$C$5:$C$60,$C$4,'Данные (плоская таблица)'!$D$5:$D$60,$B14,'Данные (плоская таблица)'!$B$5:$B$60,2024),""))</f>
        <v>3695</v>
      </c>
      <c r="D14" s="40">
        <f>IF($B14="","",IFERROR(SUMIFS('Данные (плоская таблица)'!$E$5:$E$60,'Данные (плоская таблица)'!$C$5:$C$60,$C$4,'Данные (плоская таблица)'!$D$5:$D$60,$B14,'Данные (плоская таблица)'!$B$5:$B$60,2023),""))</f>
        <v>3069</v>
      </c>
      <c r="E14" s="40">
        <f>IF($B14="","",IFERROR(SUMIFS('Данные (плоская таблица)'!$E$5:$E$60,'Данные (плоская таблица)'!$C$5:$C$60,$C$4,'Данные (плоская таблица)'!$D$5:$D$60,$B14,'Данные (плоская таблица)'!$B$5:$B$60,2022),""))</f>
        <v>0</v>
      </c>
      <c r="F14" s="34">
        <f t="shared" si="0"/>
        <v>0.20397523623330074</v>
      </c>
    </row>
    <row r="15" spans="2:6" x14ac:dyDescent="0.25">
      <c r="B15" s="33" t="str">
        <f>IF($C$4="P&amp;L","Net income",IF($C$4="Баланс","",IF($C$4="Операционные метрики","","")))</f>
        <v>Net income</v>
      </c>
      <c r="C15" s="40">
        <f>IF($B15="","",IFERROR(SUMIFS('Данные (плоская таблица)'!$E$5:$E$60,'Данные (плоская таблица)'!$C$5:$C$60,$C$4,'Данные (плоская таблица)'!$D$5:$D$60,$B15,'Данные (плоская таблица)'!$B$5:$B$60,2024),""))</f>
        <v>3407</v>
      </c>
      <c r="D15" s="40">
        <f>IF($B15="","",IFERROR(SUMIFS('Данные (плоская таблица)'!$E$5:$E$60,'Данные (плоская таблица)'!$C$5:$C$60,$C$4,'Данные (плоская таблица)'!$D$5:$D$60,$B15,'Данные (плоская таблица)'!$B$5:$B$60,2023),""))</f>
        <v>2812</v>
      </c>
      <c r="E15" s="40">
        <f>IF($B15="","",IFERROR(SUMIFS('Данные (плоская таблица)'!$E$5:$E$60,'Данные (плоская таблица)'!$C$5:$C$60,$C$4,'Данные (плоская таблица)'!$D$5:$D$60,$B15,'Данные (плоская таблица)'!$B$5:$B$60,2022),""))</f>
        <v>0</v>
      </c>
      <c r="F15" s="34">
        <f t="shared" si="0"/>
        <v>0.21159317211948792</v>
      </c>
    </row>
    <row r="16" spans="2:6" x14ac:dyDescent="0.25">
      <c r="B16" s="33" t="str">
        <f>IF($C$4="P&amp;L","Net income attributable to noncontrolling interests",IF($C$4="Баланс","",IF($C$4="Операционные метрики","","")))</f>
        <v>Net income attributable to noncontrolling interests</v>
      </c>
      <c r="C16" s="40">
        <f>IF($B16="","",IFERROR(SUMIFS('Данные (плоская таблица)'!$E$5:$E$60,'Данные (плоская таблица)'!$C$5:$C$60,$C$4,'Данные (плоская таблица)'!$D$5:$D$60,$B16,'Данные (плоская таблица)'!$B$5:$B$60,2024),""))</f>
        <v>2652</v>
      </c>
      <c r="D16" s="40">
        <f>IF($B16="","",IFERROR(SUMIFS('Данные (плоская таблица)'!$E$5:$E$60,'Данные (плоская таблица)'!$C$5:$C$60,$C$4,'Данные (плоская таблица)'!$D$5:$D$60,$B16,'Данные (плоская таблица)'!$B$5:$B$60,2023),""))</f>
        <v>2212</v>
      </c>
      <c r="E16" s="40">
        <f>IF($B16="","",IFERROR(SUMIFS('Данные (плоская таблица)'!$E$5:$E$60,'Данные (плоская таблица)'!$C$5:$C$60,$C$4,'Данные (плоская таблица)'!$D$5:$D$60,$B16,'Данные (плоская таблица)'!$B$5:$B$60,2022),""))</f>
        <v>0</v>
      </c>
      <c r="F16" s="34">
        <f t="shared" si="0"/>
        <v>0.19891500904159132</v>
      </c>
    </row>
    <row r="17" spans="2:6" x14ac:dyDescent="0.25">
      <c r="B17" s="33" t="str">
        <f>IF($C$4="P&amp;L","Net income available for common stockholders",IF($C$4="Баланс","",IF($C$4="Операционные метрики","","")))</f>
        <v>Net income available for common stockholders</v>
      </c>
      <c r="C17" s="40">
        <f>IF($B17="","",IFERROR(SUMIFS('Данные (плоская таблица)'!$E$5:$E$60,'Данные (плоская таблица)'!$C$5:$C$60,$C$4,'Данные (плоская таблица)'!$D$5:$D$60,$B17,'Данные (плоская таблица)'!$B$5:$B$60,2024),""))</f>
        <v>755</v>
      </c>
      <c r="D17" s="40">
        <f>IF($B17="","",IFERROR(SUMIFS('Данные (плоская таблица)'!$E$5:$E$60,'Данные (плоская таблица)'!$C$5:$C$60,$C$4,'Данные (плоская таблица)'!$D$5:$D$60,$B17,'Данные (плоская таблица)'!$B$5:$B$60,2023),""))</f>
        <v>600</v>
      </c>
      <c r="E17" s="40">
        <f>IF($B17="","",IFERROR(SUMIFS('Данные (плоская таблица)'!$E$5:$E$60,'Данные (плоская таблица)'!$C$5:$C$60,$C$4,'Данные (плоская таблица)'!$D$5:$D$60,$B17,'Данные (плоская таблица)'!$B$5:$B$60,2022),""))</f>
        <v>0</v>
      </c>
      <c r="F17" s="34">
        <f t="shared" si="0"/>
        <v>0.25833333333333336</v>
      </c>
    </row>
    <row r="19" spans="2:6" ht="60" customHeight="1" x14ac:dyDescent="0.25">
      <c r="B19" s="131"/>
      <c r="C19" s="131"/>
      <c r="D19" s="131"/>
      <c r="E19" s="131"/>
      <c r="F19" s="131"/>
    </row>
  </sheetData>
  <mergeCells count="4">
    <mergeCell ref="B2:F2"/>
    <mergeCell ref="B6:F6"/>
    <mergeCell ref="B19:F19"/>
    <mergeCell ref="C4:D4"/>
  </mergeCells>
  <dataValidations count="1">
    <dataValidation type="list" sqref="C4" xr:uid="{00000000-0002-0000-0A00-000000000000}">
      <formula1>"P&amp;L,Баланс,Операционные метрики,Cash Flow"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62626"/>
  </sheetPr>
  <dimension ref="B2:H28"/>
  <sheetViews>
    <sheetView showGridLines="0" zoomScaleNormal="100" workbookViewId="0">
      <selection activeCell="B2" sqref="B2:H2"/>
    </sheetView>
  </sheetViews>
  <sheetFormatPr defaultColWidth="8.7109375" defaultRowHeight="15" x14ac:dyDescent="0.25"/>
  <cols>
    <col min="1" max="1" width="3" customWidth="1"/>
    <col min="2" max="2" width="26" customWidth="1"/>
    <col min="3" max="3" width="15" bestFit="1" customWidth="1"/>
    <col min="4" max="4" width="22.5703125" bestFit="1" customWidth="1"/>
    <col min="5" max="5" width="4" customWidth="1"/>
    <col min="6" max="6" width="26" customWidth="1"/>
    <col min="7" max="8" width="12" customWidth="1"/>
  </cols>
  <sheetData>
    <row r="2" spans="2:8" ht="18" x14ac:dyDescent="0.25">
      <c r="B2" s="107" t="s">
        <v>262</v>
      </c>
      <c r="C2" s="107"/>
      <c r="D2" s="107"/>
      <c r="E2" s="107"/>
      <c r="F2" s="107"/>
      <c r="G2" s="107"/>
      <c r="H2" s="107"/>
    </row>
    <row r="4" spans="2:8" ht="21.75" customHeight="1" x14ac:dyDescent="0.25">
      <c r="B4" s="106" t="s">
        <v>252</v>
      </c>
      <c r="C4" s="106"/>
      <c r="D4" s="106"/>
    </row>
    <row r="5" spans="2:8" x14ac:dyDescent="0.25">
      <c r="B5" s="44" t="s">
        <v>242</v>
      </c>
      <c r="C5" s="44" t="s">
        <v>253</v>
      </c>
      <c r="D5" s="44" t="s">
        <v>36</v>
      </c>
    </row>
    <row r="6" spans="2:8" x14ac:dyDescent="0.25">
      <c r="B6" s="41" t="s">
        <v>55</v>
      </c>
      <c r="C6" s="42">
        <f>'Входные данные'!D10</f>
        <v>4340</v>
      </c>
      <c r="D6" s="42">
        <f>'Входные данные'!D20</f>
        <v>2812</v>
      </c>
    </row>
    <row r="7" spans="2:8" x14ac:dyDescent="0.25">
      <c r="B7" s="41" t="s">
        <v>54</v>
      </c>
      <c r="C7" s="42">
        <f>'Входные данные'!C10</f>
        <v>5185</v>
      </c>
      <c r="D7" s="42">
        <f>'Входные данные'!C20</f>
        <v>3407</v>
      </c>
    </row>
    <row r="8" spans="2:8" x14ac:dyDescent="0.25">
      <c r="B8" s="43"/>
      <c r="C8" s="43"/>
      <c r="D8" s="43"/>
    </row>
    <row r="9" spans="2:8" ht="21.75" customHeight="1" x14ac:dyDescent="0.25">
      <c r="B9" s="106" t="s">
        <v>254</v>
      </c>
      <c r="C9" s="106"/>
      <c r="D9" s="106"/>
    </row>
    <row r="10" spans="2:8" x14ac:dyDescent="0.25">
      <c r="B10" s="44" t="s">
        <v>14</v>
      </c>
      <c r="C10" s="44" t="s">
        <v>15</v>
      </c>
      <c r="D10" s="44" t="s">
        <v>16</v>
      </c>
    </row>
    <row r="11" spans="2:8" x14ac:dyDescent="0.25">
      <c r="B11" s="41" t="s">
        <v>18</v>
      </c>
      <c r="C11" s="42">
        <f>'Входные данные'!C3</f>
        <v>1697</v>
      </c>
      <c r="D11" s="42">
        <f>'Входные данные'!D3</f>
        <v>1360</v>
      </c>
    </row>
    <row r="12" spans="2:8" x14ac:dyDescent="0.25">
      <c r="B12" s="41" t="s">
        <v>20</v>
      </c>
      <c r="C12" s="42">
        <f>'Входные данные'!C4</f>
        <v>280</v>
      </c>
      <c r="D12" s="42">
        <f>'Входные данные'!D4</f>
        <v>197</v>
      </c>
    </row>
    <row r="13" spans="2:8" x14ac:dyDescent="0.25">
      <c r="B13" s="41" t="s">
        <v>25</v>
      </c>
      <c r="C13" s="42">
        <f>'Входные данные'!C9</f>
        <v>3148</v>
      </c>
      <c r="D13" s="42">
        <f>'Входные данные'!D9</f>
        <v>2794</v>
      </c>
    </row>
    <row r="14" spans="2:8" x14ac:dyDescent="0.25">
      <c r="B14" s="43"/>
      <c r="C14" s="43"/>
      <c r="D14" s="43"/>
    </row>
    <row r="15" spans="2:8" ht="21.75" customHeight="1" x14ac:dyDescent="0.25">
      <c r="B15" s="43"/>
      <c r="C15" s="43"/>
      <c r="D15" s="43"/>
    </row>
    <row r="16" spans="2:8" x14ac:dyDescent="0.25">
      <c r="B16" s="43"/>
      <c r="C16" s="43"/>
      <c r="D16" s="43"/>
    </row>
    <row r="17" spans="2:4" x14ac:dyDescent="0.25">
      <c r="B17" s="43"/>
      <c r="C17" s="43"/>
      <c r="D17" s="43"/>
    </row>
    <row r="18" spans="2:4" x14ac:dyDescent="0.25">
      <c r="B18" s="106" t="s">
        <v>255</v>
      </c>
      <c r="C18" s="106"/>
      <c r="D18" s="106"/>
    </row>
    <row r="19" spans="2:4" x14ac:dyDescent="0.25">
      <c r="B19" s="44" t="s">
        <v>256</v>
      </c>
      <c r="C19" s="44" t="s">
        <v>16</v>
      </c>
      <c r="D19" s="44" t="s">
        <v>15</v>
      </c>
    </row>
    <row r="20" spans="2:4" x14ac:dyDescent="0.25">
      <c r="B20" s="41" t="s">
        <v>257</v>
      </c>
      <c r="C20" s="42">
        <v>100</v>
      </c>
      <c r="D20" s="42">
        <f>100*'Входные данные'!C44/'Входные данные'!D44</f>
        <v>130.24980483996876</v>
      </c>
    </row>
    <row r="21" spans="2:4" x14ac:dyDescent="0.25">
      <c r="B21" s="41" t="s">
        <v>258</v>
      </c>
      <c r="C21" s="42">
        <v>100</v>
      </c>
      <c r="D21" s="42">
        <f>100*'Входные данные'!C46/'Входные данные'!D46</f>
        <v>161.22026887280248</v>
      </c>
    </row>
    <row r="22" spans="2:4" x14ac:dyDescent="0.25">
      <c r="B22" s="41" t="s">
        <v>259</v>
      </c>
      <c r="C22" s="42">
        <v>100</v>
      </c>
      <c r="D22" s="42">
        <f>100*'Входные данные'!C48/'Входные данные'!D48</f>
        <v>144.92099322799098</v>
      </c>
    </row>
    <row r="23" spans="2:4" x14ac:dyDescent="0.25">
      <c r="B23" s="43"/>
      <c r="C23" s="43"/>
      <c r="D23" s="43"/>
    </row>
    <row r="24" spans="2:4" x14ac:dyDescent="0.25">
      <c r="B24" s="106" t="s">
        <v>260</v>
      </c>
      <c r="C24" s="106"/>
      <c r="D24" s="106"/>
    </row>
    <row r="25" spans="2:4" x14ac:dyDescent="0.25">
      <c r="B25" s="44" t="s">
        <v>242</v>
      </c>
      <c r="C25" s="44" t="s">
        <v>36</v>
      </c>
      <c r="D25" s="44" t="s">
        <v>261</v>
      </c>
    </row>
    <row r="26" spans="2:4" x14ac:dyDescent="0.25">
      <c r="B26" s="41" t="s">
        <v>160</v>
      </c>
      <c r="C26" s="42">
        <f>'Cash Flow - Входные данные'!E6</f>
        <v>1842</v>
      </c>
      <c r="D26" s="42">
        <f>'Cash Flow - Входные данные'!E29</f>
        <v>3968</v>
      </c>
    </row>
    <row r="27" spans="2:4" x14ac:dyDescent="0.25">
      <c r="B27" s="41" t="s">
        <v>55</v>
      </c>
      <c r="C27" s="42">
        <f>'Cash Flow - Входные данные'!D6</f>
        <v>2812</v>
      </c>
      <c r="D27" s="42">
        <f>'Cash Flow - Входные данные'!D29</f>
        <v>4544</v>
      </c>
    </row>
    <row r="28" spans="2:4" x14ac:dyDescent="0.25">
      <c r="B28" s="41" t="s">
        <v>54</v>
      </c>
      <c r="C28" s="42">
        <f>'Cash Flow - Входные данные'!C6</f>
        <v>3407</v>
      </c>
      <c r="D28" s="42">
        <f>'Cash Flow - Входные данные'!C29</f>
        <v>8724</v>
      </c>
    </row>
  </sheetData>
  <mergeCells count="5">
    <mergeCell ref="B24:D24"/>
    <mergeCell ref="B2:H2"/>
    <mergeCell ref="B4:D4"/>
    <mergeCell ref="B9:D9"/>
    <mergeCell ref="B18:D1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Карточка проекта</vt:lpstr>
      <vt:lpstr>Входные данные</vt:lpstr>
      <vt:lpstr>P&amp;L Анализ</vt:lpstr>
      <vt:lpstr>Баланс</vt:lpstr>
      <vt:lpstr>Факторный анализ</vt:lpstr>
      <vt:lpstr>NCI и EPS-разрыв</vt:lpstr>
      <vt:lpstr>Сценарий ставки</vt:lpstr>
      <vt:lpstr>Cash Flow - Входные данные</vt:lpstr>
      <vt:lpstr>Cash Flow - Расчёты</vt:lpstr>
      <vt:lpstr>Данные (плоская таблица)</vt:lpstr>
      <vt:lpstr>Свод (интерактивный)</vt:lpstr>
      <vt:lpstr>Графики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Artem Sinyavin</cp:lastModifiedBy>
  <cp:revision>2</cp:revision>
  <dcterms:created xsi:type="dcterms:W3CDTF">2026-06-22T18:48:31Z</dcterms:created>
  <dcterms:modified xsi:type="dcterms:W3CDTF">2026-06-30T13:33:41Z</dcterms:modified>
  <dc:language>en-US</dc:language>
</cp:coreProperties>
</file>